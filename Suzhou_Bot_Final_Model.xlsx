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0" yWindow="620" windowWidth="37520" windowHeight="20980" tabRatio="600" firstSheet="0" activeTab="1" autoFilterDateGrouping="1"/>
  </bookViews>
  <sheets>
    <sheet xmlns:r="http://schemas.openxmlformats.org/officeDocument/2006/relationships" name="Quote_Calculator" sheetId="1" state="visible" r:id="rId1"/>
    <sheet xmlns:r="http://schemas.openxmlformats.org/officeDocument/2006/relationships" name="Controls" sheetId="2" state="visible" r:id="rId2"/>
    <sheet xmlns:r="http://schemas.openxmlformats.org/officeDocument/2006/relationships" name="Auto_Delivery_CN" sheetId="3" state="visible" r:id="rId3"/>
    <sheet xmlns:r="http://schemas.openxmlformats.org/officeDocument/2006/relationships" name="Test_Examples" sheetId="4" state="visible" r:id="rId4"/>
    <sheet xmlns:r="http://schemas.openxmlformats.org/officeDocument/2006/relationships" name="README" sheetId="5" state="visible" r:id="rId5"/>
  </sheets>
  <definedNames>
    <definedName name="курс">Auto_Delivery_CN!$K$1</definedName>
    <definedName name="AutoCityList">Auto_Delivery_CN!$A$3:$A$57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[$¥-478]#,##0.00"/>
  </numFmts>
  <fonts count="12">
    <font>
      <name val="Calibri"/>
      <charset val="1"/>
      <family val="2"/>
      <color theme="1"/>
      <sz val="11"/>
    </font>
    <font>
      <name val="Cambria"/>
      <family val="1"/>
      <b val="1"/>
      <color rgb="FFFFFFFF"/>
      <sz val="11"/>
    </font>
    <font>
      <name val="Cambria"/>
      <family val="1"/>
      <b val="1"/>
      <sz val="11"/>
    </font>
    <font>
      <name val="Cambria"/>
      <family val="1"/>
      <b val="1"/>
      <color rgb="FF000000"/>
      <sz val="11"/>
    </font>
    <font>
      <name val="Cambria"/>
      <family val="1"/>
      <color rgb="FF0000FF"/>
      <sz val="11"/>
    </font>
    <font>
      <name val="Cambria"/>
      <family val="1"/>
      <color rgb="FF000000"/>
      <sz val="11"/>
    </font>
    <font>
      <name val="Cambria"/>
      <family val="1"/>
      <color rgb="FF800080"/>
      <sz val="11"/>
    </font>
    <font>
      <name val="Calibri"/>
      <charset val="204"/>
      <family val="2"/>
      <b val="1"/>
      <color theme="1"/>
      <sz val="14"/>
    </font>
    <font>
      <name val="Cambria"/>
      <charset val="204"/>
      <family val="1"/>
      <b val="1"/>
      <color rgb="FF000000"/>
      <sz val="14"/>
    </font>
    <font>
      <name val="Cambria"/>
      <family val="1"/>
      <color rgb="FF0000FF"/>
      <sz val="11"/>
    </font>
    <font>
      <name val="Calibri"/>
      <family val="2"/>
      <color theme="1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AF7"/>
        <bgColor rgb="FFEAF2FF"/>
      </patternFill>
    </fill>
    <fill>
      <patternFill patternType="solid">
        <fgColor rgb="FFEAF2FF"/>
        <bgColor rgb="FFD9EAF7"/>
      </patternFill>
    </fill>
    <fill>
      <patternFill patternType="solid">
        <fgColor rgb="FFF3E5F5"/>
        <bgColor rgb="FFEAF2FF"/>
      </patternFill>
    </fill>
  </fills>
  <borders count="2">
    <border>
      <left/>
      <right/>
      <top/>
      <bottom/>
      <diagonal/>
    </border>
    <border>
      <left style="thin">
        <color rgb="FFC9D3DD"/>
      </left>
      <right style="thin">
        <color rgb="FFC9D3DD"/>
      </right>
      <top style="thin">
        <color rgb="FFC9D3DD"/>
      </top>
      <bottom style="thin">
        <color rgb="FFC9D3DD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5" fillId="0" borderId="1" pivotButton="0" quotePrefix="0" xfId="0"/>
    <xf numFmtId="2" fontId="5" fillId="0" borderId="1" pivotButton="0" quotePrefix="0" xfId="0"/>
    <xf numFmtId="164" fontId="5" fillId="0" borderId="1" pivotButton="0" quotePrefix="0" xfId="0"/>
    <xf numFmtId="0" fontId="5" fillId="5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wrapText="1"/>
    </xf>
    <xf numFmtId="0" fontId="2" fillId="3" borderId="1" pivotButton="0" quotePrefix="0" xfId="0"/>
    <xf numFmtId="0" fontId="0" fillId="0" borderId="1" pivotButton="0" quotePrefix="0" xfId="0"/>
    <xf numFmtId="2" fontId="0" fillId="0" borderId="0" pivotButton="0" quotePrefix="0" xfId="0"/>
    <xf numFmtId="165" fontId="0" fillId="0" borderId="0" pivotButton="0" quotePrefix="0" xfId="0"/>
    <xf numFmtId="0" fontId="7" fillId="3" borderId="1" pivotButton="0" quotePrefix="0" xfId="0"/>
    <xf numFmtId="4" fontId="5" fillId="0" borderId="1" pivotButton="0" quotePrefix="0" xfId="0"/>
    <xf numFmtId="4" fontId="8" fillId="0" borderId="1" pivotButton="0" quotePrefix="0" xfId="0"/>
    <xf numFmtId="4" fontId="0" fillId="0" borderId="0" pivotButton="0" quotePrefix="0" xfId="0"/>
    <xf numFmtId="4" fontId="0" fillId="0" borderId="1" pivotButton="0" quotePrefix="0" xfId="0"/>
    <xf numFmtId="0" fontId="10" fillId="3" borderId="1" pivotButton="0" quotePrefix="0" xfId="0"/>
    <xf numFmtId="0" fontId="4" fillId="4" borderId="1" applyAlignment="1" pivotButton="0" quotePrefix="0" xfId="0">
      <alignment horizontal="right"/>
    </xf>
    <xf numFmtId="2" fontId="9" fillId="4" borderId="1" applyAlignment="1" pivotButton="0" quotePrefix="0" xfId="0">
      <alignment horizontal="right"/>
    </xf>
    <xf numFmtId="1" fontId="4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11" fillId="0" borderId="0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E5F5"/>
      <rgbColor rgb="FFD9EAF7"/>
      <rgbColor rgb="FF660066"/>
      <rgbColor rgb="FFFF8080"/>
      <rgbColor rgb="FF0066CC"/>
      <rgbColor rgb="FFC9D3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Лист1">
    <outlinePr summaryBelow="1" summaryRight="1"/>
    <pageSetUpPr/>
  </sheetPr>
  <dimension ref="A1:G22"/>
  <sheetViews>
    <sheetView zoomScaleNormal="100" workbookViewId="0">
      <pane ySplit="1" topLeftCell="A2" activePane="bottomLeft" state="frozen"/>
      <selection pane="bottomLeft" activeCell="B6" sqref="B6"/>
    </sheetView>
  </sheetViews>
  <sheetFormatPr baseColWidth="10" defaultColWidth="8.6640625" defaultRowHeight="15" customHeight="1"/>
  <cols>
    <col width="30" customWidth="1" min="1" max="1"/>
    <col width="18" customWidth="1" min="2" max="2"/>
    <col width="4" customWidth="1" min="3" max="3"/>
    <col width="28" customWidth="1" min="4" max="4"/>
    <col width="31.83203125" customWidth="1" min="5" max="5"/>
    <col width="4" customWidth="1" min="6" max="6"/>
  </cols>
  <sheetData>
    <row r="1" ht="30" customHeight="1">
      <c r="A1" s="1" t="inlineStr">
        <is>
          <t>Калькулятор маршрута / 路线报价: Город X → Suzhou Jiangsu / 江苏苏州 → Москва / 莫斯科</t>
        </is>
      </c>
      <c r="B1" s="1" t="n"/>
      <c r="C1" s="1" t="n"/>
      <c r="D1" s="1" t="n"/>
      <c r="E1" s="1" t="n"/>
      <c r="F1" s="1" t="n"/>
    </row>
    <row r="2">
      <c r="A2" s="2" t="inlineStr">
        <is>
          <t>Входные данные</t>
        </is>
      </c>
      <c r="B2" s="3" t="n"/>
      <c r="D2" s="2" t="inlineStr">
        <is>
          <t>Итог для клиента</t>
        </is>
      </c>
      <c r="E2" s="3" t="n"/>
    </row>
    <row r="3">
      <c r="A3" s="4" t="inlineStr">
        <is>
          <t>Город отправления / 起运城市</t>
        </is>
      </c>
      <c r="B3" s="22" t="inlineStr">
        <is>
          <t>Shanghai / 上海</t>
        </is>
      </c>
      <c r="D3" s="4" t="inlineStr">
        <is>
          <t>Маршрут / 路线</t>
        </is>
      </c>
      <c r="E3" s="5">
        <f>IF(B12="Да",B13&amp;" → Suzhou Jiangsu → Москва",B3&amp;" → Suzhou Jiangsu → Москва")</f>
        <v/>
      </c>
    </row>
    <row r="4">
      <c r="A4" s="4" t="inlineStr">
        <is>
          <t>Назначение / 目的地</t>
        </is>
      </c>
      <c r="B4" s="22" t="inlineStr">
        <is>
          <t>Москва / 莫斯科</t>
        </is>
      </c>
      <c r="D4" s="4" t="inlineStr">
        <is>
          <t>Расчетный объем к тарифу, м³ / 计费体积</t>
        </is>
      </c>
      <c r="E4" s="6">
        <f>MAX(B6/Controls!$B$6,IF(B8="Да",B5,B9))</f>
        <v/>
      </c>
    </row>
    <row r="5">
      <c r="A5" s="4" t="inlineStr">
        <is>
          <t>Фактический объем, м³ / 实际体积</t>
        </is>
      </c>
      <c r="B5" s="23" t="n">
        <v>5</v>
      </c>
      <c r="D5" s="4" t="inlineStr">
        <is>
          <t>Объемный вес, кг / 计费重量</t>
        </is>
      </c>
      <c r="E5" s="6">
        <f>E4*Controls!$B$6</f>
        <v/>
      </c>
    </row>
    <row r="6">
      <c r="A6" s="4" t="inlineStr">
        <is>
          <t>Вес брутто, кг / 毛重</t>
        </is>
      </c>
      <c r="B6" s="24" t="n">
        <v>4040</v>
      </c>
      <c r="D6" s="4" t="inlineStr">
        <is>
          <t>Диапазон объема / 体积区间</t>
        </is>
      </c>
      <c r="E6" s="5">
        <f>IF(E4&lt;=1,"0-1",IF(E4&lt;=5,"1-5",IF(E4&lt;=10,"5-10","&gt;10")))</f>
        <v/>
      </c>
    </row>
    <row r="7">
      <c r="A7" s="4" t="inlineStr">
        <is>
          <t>Паллетизирован? / 是否打托</t>
        </is>
      </c>
      <c r="B7" s="22" t="inlineStr">
        <is>
          <t>Да</t>
        </is>
      </c>
      <c r="D7" s="4" t="inlineStr">
        <is>
          <t>Тарифное ЖД плечо, USD / 铁路费用</t>
        </is>
      </c>
      <c r="E7" s="17">
        <f>IF(E6="0-1",Controls!$B$9,IF(E6="1-5",E4*Controls!$B$10,IF(E6="5-10",E4*Controls!$B$11,E4*Controls!$B$12)))</f>
        <v/>
      </c>
    </row>
    <row r="8">
      <c r="A8" s="4" t="inlineStr">
        <is>
          <t>Штабелируемый груз? / 可否堆叠</t>
        </is>
      </c>
      <c r="B8" s="22" t="inlineStr">
        <is>
          <t>Да</t>
        </is>
      </c>
      <c r="D8" s="4" t="inlineStr">
        <is>
          <t>Сбор за документы, USD / 文件费</t>
        </is>
      </c>
      <c r="E8" s="17">
        <f>Controls!$B$8</f>
        <v/>
      </c>
    </row>
    <row r="9">
      <c r="A9" s="4" t="inlineStr">
        <is>
          <t>Объем к оплате, м³ / 计费体积</t>
        </is>
      </c>
      <c r="B9" s="25" t="n">
        <v>3</v>
      </c>
      <c r="D9" s="4" t="inlineStr">
        <is>
          <t>Авто: расчет за м³, USD / 提货按方</t>
        </is>
      </c>
      <c r="E9" s="17">
        <f>IF(B12="Да",E4*IFERROR(VLOOKUP(B13,Auto_Delivery_CN!$A$3:$I$200,3,FALSE()),0),0)</f>
        <v/>
      </c>
    </row>
    <row r="10">
      <c r="A10" s="4" t="inlineStr">
        <is>
          <t>Вес одного места, кг / 单件重量</t>
        </is>
      </c>
      <c r="B10" s="24" t="n">
        <v>2000</v>
      </c>
      <c r="D10" s="4" t="inlineStr">
        <is>
          <t>Авто: расчет за тонну, USD / 提货按吨</t>
        </is>
      </c>
      <c r="E10" s="17">
        <f>IF(B12="Да",(B6/1000)*IFERROR(VLOOKUP(B13,Auto_Delivery_CN!$A$3:$I$200,4,FALSE()),0),0)</f>
        <v/>
      </c>
    </row>
    <row r="11">
      <c r="A11" s="4" t="inlineStr">
        <is>
          <t>Длина места, м / 单件长度</t>
        </is>
      </c>
      <c r="B11" s="25" t="n">
        <v>5</v>
      </c>
      <c r="D11" s="4" t="inlineStr">
        <is>
          <t>Авто: база, USD / 提货基础价</t>
        </is>
      </c>
      <c r="E11" s="17">
        <f>MAX(E9,E10)</f>
        <v/>
      </c>
    </row>
    <row r="12" ht="19" customHeight="1">
      <c r="A12" s="4" t="inlineStr">
        <is>
          <t>Нужна автодоставка? / 是否提货</t>
        </is>
      </c>
      <c r="B12" s="22" t="inlineStr">
        <is>
          <t>Да</t>
        </is>
      </c>
      <c r="D12" s="21" t="inlineStr">
        <is>
          <t>Комиссия агента, USD / 代理费</t>
        </is>
      </c>
      <c r="E12" s="17">
        <f>IF(B12="Да",Controls!$B$17/курс,0)</f>
        <v/>
      </c>
      <c r="G12" s="14" t="n"/>
    </row>
    <row r="13">
      <c r="A13" s="4" t="inlineStr">
        <is>
          <t>Город автодоставки / 提货城市</t>
        </is>
      </c>
      <c r="B13" s="22" t="inlineStr">
        <is>
          <t>Dongguan / 东莞</t>
        </is>
      </c>
      <c r="D13" s="4" t="inlineStr">
        <is>
          <t>Pickup charge, USD / 提货附加费</t>
        </is>
      </c>
      <c r="E13" s="17">
        <f>IF(B12="Да",IF(OR(E4&gt;=15,B6/1000&gt;=4),Controls!$B$19/курс,Controls!$B$18/курс),0)</f>
        <v/>
      </c>
    </row>
    <row r="14">
      <c r="D14" s="4" t="inlineStr">
        <is>
          <t>Автодоставка итого, USD / 提货合计</t>
        </is>
      </c>
      <c r="E14" s="17">
        <f>SUM(E11:E13)</f>
        <v/>
      </c>
    </row>
    <row r="15" ht="19" customHeight="1">
      <c r="D15" s="16" t="inlineStr">
        <is>
          <t>Итоговая стоимость, USD / 总价</t>
        </is>
      </c>
      <c r="E15" s="18">
        <f>E7+E8+E14</f>
        <v/>
      </c>
    </row>
    <row r="16">
      <c r="D16" s="4" t="inlineStr">
        <is>
          <t>Стоимость за м³, USD</t>
        </is>
      </c>
      <c r="E16" s="17">
        <f>IF(E4&gt;0,E15/E4,"")</f>
        <v/>
      </c>
    </row>
    <row r="17">
      <c r="D17" s="4" t="inlineStr">
        <is>
          <t>Контейнерный ориентир, USD/м³</t>
        </is>
      </c>
      <c r="E17" s="17">
        <f>Controls!$B$5</f>
        <v/>
      </c>
    </row>
    <row r="18">
      <c r="D18" s="4" t="inlineStr">
        <is>
          <t>Контейнерный эквивалент, USD</t>
        </is>
      </c>
      <c r="E18" s="17">
        <f>E4*Controls!$B$5</f>
        <v/>
      </c>
    </row>
    <row r="19">
      <c r="D19" s="4" t="inlineStr">
        <is>
          <t>Премия к контейнерному ориентиру</t>
        </is>
      </c>
      <c r="E19" s="7">
        <f>IF(E18&gt;0,E15/E18-1,"")</f>
        <v/>
      </c>
    </row>
    <row r="20">
      <c r="D20" s="4" t="inlineStr">
        <is>
          <t>Доля авто в ЖД</t>
        </is>
      </c>
      <c r="E20" s="7">
        <f>IF(E7&gt;0,E14/E7,0)</f>
        <v/>
      </c>
    </row>
    <row r="21">
      <c r="D21" s="4" t="inlineStr">
        <is>
          <t>Проверка ограничений</t>
        </is>
      </c>
      <c r="E21" s="5">
        <f>IF(B10&gt;Controls!$B$15,"вес места &gt; 3 т","")&amp;IF(AND(B10&gt;Controls!$B$15,B11&gt;Controls!$B$16),"; ","")&amp;IF(B11&gt;Controls!$B$16,"длина &gt; 6 м","")&amp;IF(AND(B8="Нет",B9&lt;B5,OR(B10&gt;Controls!$B$15,B11&gt;Controls!$B$16)),"; ","")&amp;IF(AND(B8="Нет",B9&lt;B5),"проверьте объем к оплате","")</f>
        <v/>
      </c>
    </row>
    <row r="22">
      <c r="D22" s="4" t="inlineStr">
        <is>
          <t>Статус маршрута</t>
        </is>
      </c>
      <c r="E22" s="5">
        <f>IF(OR(B10&gt;Controls!$B$15,B11&gt;Controls!$B$16),"Требует согласования",IF(AND(B12="Да",COUNTIF(Auto_Delivery_CN!$A$3:$A$200,B13)=0),"Нет ставки авто",IF(AND(B12="Да",OR(E20&gt;Controls!$B$14,E19&gt;Controls!$B$13-1)),"Проверить вручную","Ок")))</f>
        <v/>
      </c>
    </row>
  </sheetData>
  <dataValidations count="2">
    <dataValidation sqref="B7:B8 B12" showDropDown="0" showInputMessage="0" showErrorMessage="0" allowBlank="0" type="list">
      <formula1>"Да,Нет"</formula1>
      <formula2>0</formula2>
    </dataValidation>
    <dataValidation sqref="B13" showDropDown="0" showInputMessage="1" showErrorMessage="1" allowBlank="1" errorTitle="Некорректный город" error="Выберите город только из списка Auto_Delivery_CN." promptTitle="Выбор города" prompt="Выберите город автодоставки из списка." type="list">
      <formula1>AutoCityList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codeName="Лист2">
    <outlinePr summaryBelow="1" summaryRight="1"/>
    <pageSetUpPr/>
  </sheetPr>
  <dimension ref="A1:G24"/>
  <sheetViews>
    <sheetView tabSelected="1" zoomScaleNormal="100" workbookViewId="0">
      <pane ySplit="1" topLeftCell="A2" activePane="bottomLeft" state="frozen"/>
      <selection pane="bottomLeft" activeCell="B5" sqref="B5"/>
    </sheetView>
  </sheetViews>
  <sheetFormatPr baseColWidth="10" defaultColWidth="8.6640625" defaultRowHeight="15" customHeight="1"/>
  <cols>
    <col width="34" customWidth="1" min="1" max="1"/>
    <col width="14" customWidth="1" min="2" max="2"/>
    <col width="12" customWidth="1" min="3" max="3"/>
    <col width="38" customWidth="1" min="4" max="4"/>
  </cols>
  <sheetData>
    <row r="1">
      <c r="A1" s="1" t="inlineStr">
        <is>
          <t>Модель и ограничения</t>
        </is>
      </c>
      <c r="B1" s="1" t="n"/>
      <c r="C1" s="1" t="n"/>
      <c r="D1" s="1" t="n"/>
    </row>
    <row r="2">
      <c r="A2" s="2" t="inlineStr">
        <is>
          <t>Параметр</t>
        </is>
      </c>
      <c r="B2" s="2" t="inlineStr">
        <is>
          <t>Значение</t>
        </is>
      </c>
      <c r="C2" s="2" t="inlineStr">
        <is>
          <t>Ед.</t>
        </is>
      </c>
      <c r="D2" s="2" t="inlineStr">
        <is>
          <t>Комментарий</t>
        </is>
      </c>
    </row>
    <row r="3" ht="16" customHeight="1">
      <c r="A3" s="8" t="inlineStr">
        <is>
          <t>Стоимость целого контейнера</t>
        </is>
      </c>
      <c r="B3" s="9" t="n">
        <v>9800</v>
      </c>
      <c r="C3" s="10" t="inlineStr">
        <is>
          <t>USD</t>
        </is>
      </c>
      <c r="D3" s="11" t="inlineStr">
        <is>
          <t>Исходная стоимость контейнера</t>
        </is>
      </c>
    </row>
    <row r="4" ht="16" customHeight="1">
      <c r="A4" s="8" t="inlineStr">
        <is>
          <t>Вместимость контейнера</t>
        </is>
      </c>
      <c r="B4" s="9" t="n">
        <v>65</v>
      </c>
      <c r="C4" s="10" t="inlineStr">
        <is>
          <t>м³</t>
        </is>
      </c>
      <c r="D4" s="11" t="inlineStr">
        <is>
          <t>Редактируемое допущение</t>
        </is>
      </c>
    </row>
    <row r="5" ht="16" customHeight="1">
      <c r="A5" s="8" t="inlineStr">
        <is>
          <t>Контейнерный ориентир</t>
        </is>
      </c>
      <c r="B5" s="10">
        <f>B3/B4</f>
        <v/>
      </c>
      <c r="C5" s="10" t="inlineStr">
        <is>
          <t>USD/м³</t>
        </is>
      </c>
      <c r="D5" s="11" t="inlineStr">
        <is>
          <t>Стоимость контейнера / вместимость</t>
        </is>
      </c>
    </row>
    <row r="6" ht="16" customHeight="1">
      <c r="A6" s="8" t="inlineStr">
        <is>
          <t>Объемный коэффициент</t>
        </is>
      </c>
      <c r="B6" s="9" t="n">
        <v>500</v>
      </c>
      <c r="C6" s="10" t="inlineStr">
        <is>
          <t>кг/м³</t>
        </is>
      </c>
      <c r="D6" s="11" t="inlineStr">
        <is>
          <t>Для ЖД плеча: 1 м³ = 500 кг</t>
        </is>
      </c>
    </row>
    <row r="7" ht="16" customHeight="1">
      <c r="A7" s="8" t="inlineStr">
        <is>
          <t>Авто-доставка: 1 м³ =</t>
        </is>
      </c>
      <c r="B7" s="9" t="n">
        <v>1</v>
      </c>
      <c r="C7" s="10" t="inlineStr">
        <is>
          <t>т</t>
        </is>
      </c>
      <c r="D7" s="11" t="inlineStr">
        <is>
          <t>Для сравнения ставок за м³ и за тонну</t>
        </is>
      </c>
    </row>
    <row r="8" ht="16" customHeight="1">
      <c r="A8" s="8" t="inlineStr">
        <is>
          <t>Сбор за документы</t>
        </is>
      </c>
      <c r="B8" s="9" t="n">
        <v>150</v>
      </c>
      <c r="C8" s="10" t="inlineStr">
        <is>
          <t>USD/партия</t>
        </is>
      </c>
      <c r="D8" s="11" t="inlineStr">
        <is>
          <t>Добавляется всегда</t>
        </is>
      </c>
    </row>
    <row r="9" ht="16" customHeight="1">
      <c r="A9" s="8" t="inlineStr">
        <is>
          <t>Тариф 0–1 м³ (фикс.)</t>
        </is>
      </c>
      <c r="B9" s="9" t="n">
        <v>150</v>
      </c>
      <c r="C9" s="10" t="inlineStr">
        <is>
          <t>USD</t>
        </is>
      </c>
      <c r="D9" s="11" t="inlineStr">
        <is>
          <t>Фиксированная ставка</t>
        </is>
      </c>
    </row>
    <row r="10" ht="16" customHeight="1">
      <c r="A10" s="8" t="inlineStr">
        <is>
          <t>Тариф 1–5 м³</t>
        </is>
      </c>
      <c r="B10" s="9" t="n">
        <v>155</v>
      </c>
      <c r="C10" s="10" t="inlineStr">
        <is>
          <t>USD/м³</t>
        </is>
      </c>
      <c r="D10" s="11" t="inlineStr">
        <is>
          <t>Ставка за куб</t>
        </is>
      </c>
    </row>
    <row r="11" ht="16" customHeight="1">
      <c r="A11" s="8" t="inlineStr">
        <is>
          <t>Тариф 5–10 м³</t>
        </is>
      </c>
      <c r="B11" s="9" t="n">
        <v>165</v>
      </c>
      <c r="C11" s="10" t="inlineStr">
        <is>
          <t>USD/м³</t>
        </is>
      </c>
      <c r="D11" s="11" t="inlineStr">
        <is>
          <t>Ставка за куб</t>
        </is>
      </c>
    </row>
    <row r="12" ht="16" customHeight="1">
      <c r="A12" s="8" t="inlineStr">
        <is>
          <t>Тариф &gt;10 м³</t>
        </is>
      </c>
      <c r="B12" s="9" t="n">
        <v>165</v>
      </c>
      <c r="C12" s="10" t="inlineStr">
        <is>
          <t>USD/м³</t>
        </is>
      </c>
      <c r="D12" s="11" t="inlineStr">
        <is>
          <t>Ставка за куб</t>
        </is>
      </c>
    </row>
    <row r="13" ht="30" customHeight="1">
      <c r="A13" s="8" t="inlineStr">
        <is>
          <t>Допустимая премия к контейнерному ориентиру</t>
        </is>
      </c>
      <c r="B13" s="9" t="n">
        <v>1.25</v>
      </c>
      <c r="C13" s="10" t="inlineStr">
        <is>
          <t>x</t>
        </is>
      </c>
      <c r="D13" s="11" t="inlineStr">
        <is>
          <t>Для полной ставки</t>
        </is>
      </c>
    </row>
    <row r="14" ht="16" customHeight="1">
      <c r="A14" s="8" t="inlineStr">
        <is>
          <t>Макс. доля авто к ЖД плечу</t>
        </is>
      </c>
      <c r="B14" s="9" t="n">
        <v>0.35</v>
      </c>
      <c r="C14" s="10" t="inlineStr">
        <is>
          <t>доля</t>
        </is>
      </c>
      <c r="D14" s="11" t="inlineStr">
        <is>
          <t>Если выше — проверить вручную</t>
        </is>
      </c>
    </row>
    <row r="15" ht="16" customHeight="1">
      <c r="A15" s="8" t="inlineStr">
        <is>
          <t>Макс. вес одного места</t>
        </is>
      </c>
      <c r="B15" s="9" t="n">
        <v>3000</v>
      </c>
      <c r="C15" s="10" t="inlineStr">
        <is>
          <t>кг</t>
        </is>
      </c>
      <c r="D15" s="11" t="inlineStr">
        <is>
          <t>Ограничение</t>
        </is>
      </c>
    </row>
    <row r="16">
      <c r="A16" t="inlineStr">
        <is>
          <t>Макс. длина одного места</t>
        </is>
      </c>
      <c r="B16" t="n">
        <v>6</v>
      </c>
      <c r="C16" t="inlineStr">
        <is>
          <t>м</t>
        </is>
      </c>
      <c r="D16" t="inlineStr">
        <is>
          <t>Ограничение</t>
        </is>
      </c>
    </row>
    <row r="17">
      <c r="A17" t="inlineStr">
        <is>
          <t>Комиссия агента (авто)</t>
        </is>
      </c>
      <c r="B17" t="n">
        <v>200</v>
      </c>
      <c r="C17" t="inlineStr">
        <is>
          <t>CNY/партия</t>
        </is>
      </c>
      <c r="D17" t="inlineStr">
        <is>
          <t>Добавляется к каждой партии при автодоставке</t>
        </is>
      </c>
    </row>
    <row r="18">
      <c r="A18" t="inlineStr">
        <is>
          <t>Pickup charge &lt; 15 м³ и &lt; 4 т</t>
        </is>
      </c>
      <c r="B18" t="n">
        <v>250</v>
      </c>
      <c r="C18" t="inlineStr">
        <is>
          <t>CNY/партия</t>
        </is>
      </c>
      <c r="D18" t="inlineStr">
        <is>
          <t>Сбор за партию, если объем &lt; 15 м³ и вес &lt; 4 т</t>
        </is>
      </c>
    </row>
    <row r="19">
      <c r="A19" t="inlineStr">
        <is>
          <t>Pickup charge ≥ 15 м³ или ≥ 4 т</t>
        </is>
      </c>
      <c r="B19" t="n">
        <v>350</v>
      </c>
      <c r="C19" t="inlineStr">
        <is>
          <t>CNY/партия</t>
        </is>
      </c>
      <c r="D19" t="inlineStr">
        <is>
          <t>Сбор за партию, если объем ≥ 15 м³ или вес ≥ 4 т</t>
        </is>
      </c>
    </row>
    <row r="24" ht="15" customHeight="1">
      <c r="G24" t="n">
        <v>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 codeName="Лист3">
    <outlinePr summaryBelow="1" summaryRight="1"/>
    <pageSetUpPr/>
  </sheetPr>
  <dimension ref="A1:U57"/>
  <sheetViews>
    <sheetView zoomScaleNormal="100" workbookViewId="0">
      <pane ySplit="1" topLeftCell="A2" activePane="bottomLeft" state="frozen"/>
      <selection pane="bottomLeft" activeCell="M2" sqref="M2:Q2"/>
    </sheetView>
  </sheetViews>
  <sheetFormatPr baseColWidth="10" defaultColWidth="8.6640625" defaultRowHeight="15" customHeight="1"/>
  <cols>
    <col width="20" customWidth="1" min="1" max="1"/>
    <col width="18" customWidth="1" min="2" max="2"/>
    <col width="16" customWidth="1" min="3" max="4"/>
    <col width="10" customWidth="1" min="5" max="5"/>
    <col width="12" customWidth="1" min="6" max="6"/>
    <col width="30" customWidth="1" min="7" max="7"/>
  </cols>
  <sheetData>
    <row r="1" ht="45" customHeight="1">
      <c r="A1" s="1" t="inlineStr">
        <is>
          <t>Автодоставка до станции Suzhou Jiangsu / 提货到江苏苏州站</t>
        </is>
      </c>
      <c r="B1" s="1" t="n"/>
      <c r="C1" s="1" t="n"/>
      <c r="D1" s="1" t="n"/>
      <c r="E1" s="1" t="n"/>
      <c r="F1" s="1" t="n"/>
      <c r="G1" s="1" t="n"/>
      <c r="I1" t="inlineStr">
        <is>
          <t xml:space="preserve">курс </t>
        </is>
      </c>
      <c r="J1" t="inlineStr">
        <is>
          <t>=</t>
        </is>
      </c>
      <c r="K1" t="n">
        <v>6.9</v>
      </c>
    </row>
    <row r="2">
      <c r="A2" s="12" t="inlineStr">
        <is>
          <t>Город отправления / 提货城市</t>
        </is>
      </c>
      <c r="B2" s="12" t="inlineStr">
        <is>
          <t>Станция хаба / 集货站</t>
        </is>
      </c>
      <c r="C2" s="12" t="inlineStr">
        <is>
          <t>Ставка, USD/м³</t>
        </is>
      </c>
      <c r="D2" s="12" t="inlineStr">
        <is>
          <t>Ставка, USD/т</t>
        </is>
      </c>
      <c r="E2" s="12" t="inlineStr">
        <is>
          <t>Комиссия агента, USD/партия</t>
        </is>
      </c>
      <c r="F2" s="12" t="inlineStr">
        <is>
          <t>Pickup charge &lt;15м³/&lt;4т, USD/партия</t>
        </is>
      </c>
      <c r="G2" s="12" t="inlineStr">
        <is>
          <t>Pickup charge ≥15м³/≥4т, USD/партия</t>
        </is>
      </c>
      <c r="H2" s="12" t="inlineStr">
        <is>
          <t>Активна / 启用</t>
        </is>
      </c>
      <c r="I2" s="12" t="inlineStr">
        <is>
          <t>Примечание / 备注</t>
        </is>
      </c>
      <c r="J2" s="26" t="inlineStr">
        <is>
          <t>City_EN</t>
        </is>
      </c>
      <c r="K2" s="26" t="inlineStr">
        <is>
          <t>City_CN</t>
        </is>
      </c>
      <c r="T2" s="15" t="n"/>
      <c r="U2" s="15" t="n"/>
    </row>
    <row r="3">
      <c r="A3" t="inlineStr">
        <is>
          <t>Beijing / 北京</t>
        </is>
      </c>
      <c r="B3" s="13" t="inlineStr">
        <is>
          <t>Suzhou Jiangsu / 江苏苏州</t>
        </is>
      </c>
      <c r="C3" s="19">
        <f>O3/курс</f>
        <v/>
      </c>
      <c r="D3" s="19">
        <f>N3/курс</f>
        <v/>
      </c>
      <c r="E3" s="20">
        <f>Controls!$B$17/курс</f>
        <v/>
      </c>
      <c r="F3" s="20">
        <f>Controls!$B$18/курс</f>
        <v/>
      </c>
      <c r="G3" s="20">
        <f>Controls!$B$19/курс</f>
        <v/>
      </c>
      <c r="H3" t="inlineStr">
        <is>
          <t>Да</t>
        </is>
      </c>
      <c r="I3" t="inlineStr">
        <is>
          <t>Авто = MAX(м³×USD/м³; т×USD/т) + комиссия агента + pickup charge</t>
        </is>
      </c>
      <c r="J3" t="inlineStr">
        <is>
          <t>Beijing</t>
        </is>
      </c>
      <c r="K3" t="inlineStr">
        <is>
          <t>北京</t>
        </is>
      </c>
      <c r="M3" t="inlineStr">
        <is>
          <t>Beijing</t>
        </is>
      </c>
      <c r="N3" t="n">
        <v>400</v>
      </c>
      <c r="O3" t="n">
        <v>100</v>
      </c>
      <c r="Q3" t="n">
        <v>200</v>
      </c>
      <c r="T3" s="15" t="n"/>
      <c r="U3" s="15" t="n"/>
    </row>
    <row r="4">
      <c r="A4" t="inlineStr">
        <is>
          <t>Tianjin / 天津</t>
        </is>
      </c>
      <c r="B4" s="13" t="inlineStr">
        <is>
          <t>Suzhou Jiangsu / 江苏苏州</t>
        </is>
      </c>
      <c r="C4" s="19">
        <f>O4/курс</f>
        <v/>
      </c>
      <c r="D4" s="19">
        <f>N4/курс</f>
        <v/>
      </c>
      <c r="E4" s="20">
        <f>Controls!$B$17/курс</f>
        <v/>
      </c>
      <c r="F4" s="20">
        <f>Controls!$B$18/курс</f>
        <v/>
      </c>
      <c r="G4" s="20">
        <f>Controls!$B$19/курс</f>
        <v/>
      </c>
      <c r="H4" t="inlineStr">
        <is>
          <t>Да</t>
        </is>
      </c>
      <c r="I4" t="inlineStr">
        <is>
          <t>Авто = MAX(м³×USD/м³; т×USD/т) + комиссия агента + pickup charge</t>
        </is>
      </c>
      <c r="J4" t="inlineStr">
        <is>
          <t>Tianjin</t>
        </is>
      </c>
      <c r="K4" t="inlineStr">
        <is>
          <t>天津</t>
        </is>
      </c>
      <c r="M4" t="inlineStr">
        <is>
          <t>Tianjin</t>
        </is>
      </c>
      <c r="N4" t="n">
        <v>400</v>
      </c>
      <c r="O4" t="n">
        <v>100</v>
      </c>
      <c r="Q4" t="n">
        <v>200</v>
      </c>
      <c r="T4" s="15" t="n"/>
      <c r="U4" s="15" t="n"/>
    </row>
    <row r="5">
      <c r="A5" t="inlineStr">
        <is>
          <t>Shanghai / 上海</t>
        </is>
      </c>
      <c r="B5" s="13" t="inlineStr">
        <is>
          <t>Suzhou Jiangsu / 江苏苏州</t>
        </is>
      </c>
      <c r="C5" s="19">
        <f>O5/курс</f>
        <v/>
      </c>
      <c r="D5" s="19">
        <f>N5/курс</f>
        <v/>
      </c>
      <c r="E5" s="20">
        <f>Controls!$B$17/курс</f>
        <v/>
      </c>
      <c r="F5" s="20">
        <f>Controls!$B$18/курс</f>
        <v/>
      </c>
      <c r="G5" s="20">
        <f>Controls!$B$19/курс</f>
        <v/>
      </c>
      <c r="H5" t="inlineStr">
        <is>
          <t>Да</t>
        </is>
      </c>
      <c r="I5" t="inlineStr">
        <is>
          <t>Авто = MAX(м³×USD/м³; т×USD/т) + комиссия агента + pickup charge</t>
        </is>
      </c>
      <c r="J5" t="inlineStr">
        <is>
          <t>Shanghai</t>
        </is>
      </c>
      <c r="K5" t="inlineStr">
        <is>
          <t>上海</t>
        </is>
      </c>
      <c r="M5" t="inlineStr">
        <is>
          <t>Shanghai</t>
        </is>
      </c>
      <c r="N5" t="n">
        <v>180</v>
      </c>
      <c r="O5" t="n">
        <v>60</v>
      </c>
      <c r="Q5" t="n">
        <v>200</v>
      </c>
      <c r="T5" s="15" t="n"/>
      <c r="U5" s="15" t="n"/>
    </row>
    <row r="6">
      <c r="A6" t="inlineStr">
        <is>
          <t>Chongqing / 重庆</t>
        </is>
      </c>
      <c r="B6" s="13" t="inlineStr">
        <is>
          <t>Suzhou Jiangsu / 江苏苏州</t>
        </is>
      </c>
      <c r="C6" s="19">
        <f>O6/курс</f>
        <v/>
      </c>
      <c r="D6" s="19">
        <f>N6/курс</f>
        <v/>
      </c>
      <c r="E6" s="20">
        <f>Controls!$B$17/курс</f>
        <v/>
      </c>
      <c r="F6" s="20">
        <f>Controls!$B$18/курс</f>
        <v/>
      </c>
      <c r="G6" s="20">
        <f>Controls!$B$19/курс</f>
        <v/>
      </c>
      <c r="H6" t="inlineStr">
        <is>
          <t>Да</t>
        </is>
      </c>
      <c r="I6" t="inlineStr">
        <is>
          <t>Авто = MAX(м³×USD/м³; т×USD/т) + комиссия агента + pickup charge</t>
        </is>
      </c>
      <c r="J6" t="inlineStr">
        <is>
          <t>Chongqing</t>
        </is>
      </c>
      <c r="K6" t="inlineStr">
        <is>
          <t>重庆</t>
        </is>
      </c>
      <c r="M6" t="inlineStr">
        <is>
          <t>Chongqing</t>
        </is>
      </c>
      <c r="N6" t="n">
        <v>500</v>
      </c>
      <c r="O6" t="n">
        <v>120</v>
      </c>
      <c r="Q6" t="n">
        <v>200</v>
      </c>
      <c r="T6" s="15" t="n"/>
      <c r="U6" s="15" t="n"/>
    </row>
    <row r="7">
      <c r="A7" t="inlineStr">
        <is>
          <t>Shenyang / 沈阳</t>
        </is>
      </c>
      <c r="B7" s="13" t="inlineStr">
        <is>
          <t>Suzhou Jiangsu / 江苏苏州</t>
        </is>
      </c>
      <c r="C7" s="19">
        <f>O7/курс</f>
        <v/>
      </c>
      <c r="D7" s="19">
        <f>N7/курс</f>
        <v/>
      </c>
      <c r="E7" s="20">
        <f>Controls!$B$17/курс</f>
        <v/>
      </c>
      <c r="F7" s="20">
        <f>Controls!$B$18/курс</f>
        <v/>
      </c>
      <c r="G7" s="20">
        <f>Controls!$B$19/курс</f>
        <v/>
      </c>
      <c r="H7" t="inlineStr">
        <is>
          <t>Да</t>
        </is>
      </c>
      <c r="I7" t="inlineStr">
        <is>
          <t>Авто = MAX(м³×USD/м³; т×USD/т) + комиссия агента + pickup charge</t>
        </is>
      </c>
      <c r="J7" t="inlineStr">
        <is>
          <t>Shenyang</t>
        </is>
      </c>
      <c r="K7" t="inlineStr">
        <is>
          <t>沈阳</t>
        </is>
      </c>
      <c r="M7" t="inlineStr">
        <is>
          <t>Shenyang</t>
        </is>
      </c>
      <c r="N7" t="n">
        <v>550</v>
      </c>
      <c r="O7" t="n">
        <v>150</v>
      </c>
      <c r="Q7" t="n">
        <v>200</v>
      </c>
      <c r="T7" s="15" t="n"/>
      <c r="U7" s="15" t="n"/>
    </row>
    <row r="8" ht="15" customHeight="1">
      <c r="A8" t="inlineStr">
        <is>
          <t>Dalian / 大连</t>
        </is>
      </c>
      <c r="B8" s="13" t="inlineStr">
        <is>
          <t>Suzhou Jiangsu / 江苏苏州</t>
        </is>
      </c>
      <c r="C8" s="19">
        <f>O8/курс</f>
        <v/>
      </c>
      <c r="D8" s="19">
        <f>N8/курс</f>
        <v/>
      </c>
      <c r="E8" s="19">
        <f>Controls!$B$17/курс</f>
        <v/>
      </c>
      <c r="F8" s="20">
        <f>Controls!$B$18/курс</f>
        <v/>
      </c>
      <c r="G8" s="20">
        <f>Controls!$B$19/курс</f>
        <v/>
      </c>
      <c r="H8" t="inlineStr">
        <is>
          <t>Да</t>
        </is>
      </c>
      <c r="I8" t="inlineStr">
        <is>
          <t>Авто = MAX(м³×USD/м³; т×USD/т) + комиссия агента + pickup charge</t>
        </is>
      </c>
      <c r="J8" t="inlineStr">
        <is>
          <t>Dalian</t>
        </is>
      </c>
      <c r="K8" t="inlineStr">
        <is>
          <t>大连</t>
        </is>
      </c>
      <c r="M8" t="inlineStr">
        <is>
          <t>Dalian</t>
        </is>
      </c>
      <c r="N8" t="n">
        <v>650</v>
      </c>
      <c r="O8" t="n">
        <v>180</v>
      </c>
      <c r="Q8" t="n">
        <v>200</v>
      </c>
      <c r="T8" s="15" t="n"/>
      <c r="U8" s="15" t="n"/>
    </row>
    <row r="9" ht="15" customHeight="1">
      <c r="A9" t="inlineStr">
        <is>
          <t>Shijiazhuang / 石家庄</t>
        </is>
      </c>
      <c r="B9" s="13" t="inlineStr">
        <is>
          <t>Suzhou Jiangsu / 江苏苏州</t>
        </is>
      </c>
      <c r="C9" s="19">
        <f>O9/курс</f>
        <v/>
      </c>
      <c r="D9" s="19">
        <f>N9/курс</f>
        <v/>
      </c>
      <c r="E9" s="19">
        <f>Controls!$B$17/курс</f>
        <v/>
      </c>
      <c r="F9" s="20">
        <f>Controls!$B$18/курс</f>
        <v/>
      </c>
      <c r="G9" s="20">
        <f>Controls!$B$19/курс</f>
        <v/>
      </c>
      <c r="H9" t="inlineStr">
        <is>
          <t>Да</t>
        </is>
      </c>
      <c r="I9" t="inlineStr">
        <is>
          <t>Авто = MAX(м³×USD/м³; т×USD/т) + комиссия агента + pickup charge</t>
        </is>
      </c>
      <c r="J9" t="inlineStr">
        <is>
          <t>Shijiazhuang</t>
        </is>
      </c>
      <c r="K9" t="inlineStr">
        <is>
          <t>石家庄</t>
        </is>
      </c>
      <c r="M9" t="inlineStr">
        <is>
          <t>Shijiazhuang</t>
        </is>
      </c>
      <c r="N9" t="n">
        <v>380</v>
      </c>
      <c r="O9" t="n">
        <v>100</v>
      </c>
      <c r="Q9" t="n">
        <v>200</v>
      </c>
      <c r="T9" s="15" t="n"/>
      <c r="U9" s="15" t="n"/>
    </row>
    <row r="10" ht="15" customHeight="1">
      <c r="A10" t="inlineStr">
        <is>
          <t>Cangzhou / 沧州</t>
        </is>
      </c>
      <c r="B10" s="13" t="inlineStr">
        <is>
          <t>Suzhou Jiangsu / 江苏苏州</t>
        </is>
      </c>
      <c r="C10" s="19">
        <f>O10/курс</f>
        <v/>
      </c>
      <c r="D10" s="19">
        <f>N10/курс</f>
        <v/>
      </c>
      <c r="E10" s="19">
        <f>Controls!$B$17/курс</f>
        <v/>
      </c>
      <c r="F10" s="20">
        <f>Controls!$B$18/курс</f>
        <v/>
      </c>
      <c r="G10" s="20">
        <f>Controls!$B$19/курс</f>
        <v/>
      </c>
      <c r="H10" t="inlineStr">
        <is>
          <t>Да</t>
        </is>
      </c>
      <c r="I10" t="inlineStr">
        <is>
          <t>Авто = MAX(м³×USD/м³; т×USD/т) + комиссия агента + pickup charge</t>
        </is>
      </c>
      <c r="J10" t="inlineStr">
        <is>
          <t>Cangzhou</t>
        </is>
      </c>
      <c r="K10" t="inlineStr">
        <is>
          <t>沧州</t>
        </is>
      </c>
      <c r="M10" t="inlineStr">
        <is>
          <t>Cangzhou</t>
        </is>
      </c>
      <c r="N10" t="n">
        <v>380</v>
      </c>
      <c r="O10" t="n">
        <v>100</v>
      </c>
      <c r="Q10" t="n">
        <v>200</v>
      </c>
      <c r="T10" s="15" t="n"/>
      <c r="U10" s="15" t="n"/>
    </row>
    <row r="11" ht="15" customHeight="1">
      <c r="A11" t="inlineStr">
        <is>
          <t>Baoding / 保定</t>
        </is>
      </c>
      <c r="B11" s="13" t="inlineStr">
        <is>
          <t>Suzhou Jiangsu / 江苏苏州</t>
        </is>
      </c>
      <c r="C11" s="19">
        <f>O11/курс</f>
        <v/>
      </c>
      <c r="D11" s="19">
        <f>N11/курс</f>
        <v/>
      </c>
      <c r="E11" s="19">
        <f>Controls!$B$17/курс</f>
        <v/>
      </c>
      <c r="F11" s="20">
        <f>Controls!$B$18/курс</f>
        <v/>
      </c>
      <c r="G11" s="20">
        <f>Controls!$B$19/курс</f>
        <v/>
      </c>
      <c r="H11" t="inlineStr">
        <is>
          <t>Да</t>
        </is>
      </c>
      <c r="I11" t="inlineStr">
        <is>
          <t>Авто = MAX(м³×USD/м³; т×USD/т) + комиссия агента + pickup charge</t>
        </is>
      </c>
      <c r="J11" t="inlineStr">
        <is>
          <t>Baoding</t>
        </is>
      </c>
      <c r="K11" t="inlineStr">
        <is>
          <t>保定</t>
        </is>
      </c>
      <c r="M11" t="inlineStr">
        <is>
          <t>Baoding</t>
        </is>
      </c>
      <c r="N11" t="n">
        <v>380</v>
      </c>
      <c r="O11" t="n">
        <v>100</v>
      </c>
      <c r="Q11" t="n">
        <v>200</v>
      </c>
      <c r="T11" s="15" t="n"/>
      <c r="U11" s="15" t="n"/>
    </row>
    <row r="12" ht="15" customHeight="1">
      <c r="A12" t="inlineStr">
        <is>
          <t>Xingtai / 邢台</t>
        </is>
      </c>
      <c r="B12" s="13" t="inlineStr">
        <is>
          <t>Suzhou Jiangsu / 江苏苏州</t>
        </is>
      </c>
      <c r="C12" s="19">
        <f>O12/курс</f>
        <v/>
      </c>
      <c r="D12" s="19">
        <f>N12/курс</f>
        <v/>
      </c>
      <c r="E12" s="19">
        <f>Controls!$B$17/курс</f>
        <v/>
      </c>
      <c r="F12" s="20">
        <f>Controls!$B$18/курс</f>
        <v/>
      </c>
      <c r="G12" s="20">
        <f>Controls!$B$19/курс</f>
        <v/>
      </c>
      <c r="H12" t="inlineStr">
        <is>
          <t>Да</t>
        </is>
      </c>
      <c r="I12" t="inlineStr">
        <is>
          <t>Авто = MAX(м³×USD/м³; т×USD/т) + комиссия агента + pickup charge</t>
        </is>
      </c>
      <c r="J12" t="inlineStr">
        <is>
          <t>Xingtai</t>
        </is>
      </c>
      <c r="K12" t="inlineStr">
        <is>
          <t>邢台</t>
        </is>
      </c>
      <c r="M12" t="inlineStr">
        <is>
          <t>Xingtai</t>
        </is>
      </c>
      <c r="N12" t="n">
        <v>380</v>
      </c>
      <c r="O12" t="n">
        <v>100</v>
      </c>
      <c r="Q12" t="n">
        <v>200</v>
      </c>
      <c r="T12" s="15" t="n"/>
      <c r="U12" s="15" t="n"/>
    </row>
    <row r="13" ht="15" customHeight="1">
      <c r="A13" t="inlineStr">
        <is>
          <t>Hengshui / 衡水</t>
        </is>
      </c>
      <c r="B13" s="13" t="inlineStr">
        <is>
          <t>Suzhou Jiangsu / 江苏苏州</t>
        </is>
      </c>
      <c r="C13" s="19">
        <f>O13/курс</f>
        <v/>
      </c>
      <c r="D13" s="19">
        <f>N13/курс</f>
        <v/>
      </c>
      <c r="E13" s="19">
        <f>Controls!$B$17/курс</f>
        <v/>
      </c>
      <c r="F13" s="20">
        <f>Controls!$B$18/курс</f>
        <v/>
      </c>
      <c r="G13" s="20">
        <f>Controls!$B$19/курс</f>
        <v/>
      </c>
      <c r="H13" t="inlineStr">
        <is>
          <t>Да</t>
        </is>
      </c>
      <c r="I13" t="inlineStr">
        <is>
          <t>Авто = MAX(м³×USD/м³; т×USD/т) + комиссия агента + pickup charge</t>
        </is>
      </c>
      <c r="J13" t="inlineStr">
        <is>
          <t>Hengshui</t>
        </is>
      </c>
      <c r="K13" t="inlineStr">
        <is>
          <t>衡水</t>
        </is>
      </c>
      <c r="M13" t="inlineStr">
        <is>
          <t>Hengshui</t>
        </is>
      </c>
      <c r="N13" t="n">
        <v>350</v>
      </c>
      <c r="O13" t="n">
        <v>100</v>
      </c>
      <c r="Q13" t="n">
        <v>200</v>
      </c>
      <c r="T13" s="15" t="n"/>
      <c r="U13" s="15" t="n"/>
    </row>
    <row r="14" ht="15" customHeight="1">
      <c r="A14" t="inlineStr">
        <is>
          <t>Jinan / 济南</t>
        </is>
      </c>
      <c r="B14" s="13" t="inlineStr">
        <is>
          <t>Suzhou Jiangsu / 江苏苏州</t>
        </is>
      </c>
      <c r="C14" s="19">
        <f>O14/курс</f>
        <v/>
      </c>
      <c r="D14" s="19">
        <f>N14/курс</f>
        <v/>
      </c>
      <c r="E14" s="19">
        <f>Controls!$B$17/курс</f>
        <v/>
      </c>
      <c r="F14" s="20">
        <f>Controls!$B$18/курс</f>
        <v/>
      </c>
      <c r="G14" s="20">
        <f>Controls!$B$19/курс</f>
        <v/>
      </c>
      <c r="H14" t="inlineStr">
        <is>
          <t>Да</t>
        </is>
      </c>
      <c r="I14" t="inlineStr">
        <is>
          <t>Авто = MAX(м³×USD/м³; т×USD/т) + комиссия агента + pickup charge</t>
        </is>
      </c>
      <c r="J14" t="inlineStr">
        <is>
          <t>Jinan</t>
        </is>
      </c>
      <c r="K14" t="inlineStr">
        <is>
          <t>济南</t>
        </is>
      </c>
      <c r="M14" t="inlineStr">
        <is>
          <t>Jinan</t>
        </is>
      </c>
      <c r="N14" t="n">
        <v>300</v>
      </c>
      <c r="O14" t="n">
        <v>100</v>
      </c>
      <c r="Q14" t="n">
        <v>200</v>
      </c>
      <c r="T14" s="15" t="n"/>
      <c r="U14" s="15" t="n"/>
    </row>
    <row r="15" ht="15" customHeight="1">
      <c r="A15" t="inlineStr">
        <is>
          <t>Qingdao / 青岛</t>
        </is>
      </c>
      <c r="B15" s="13" t="inlineStr">
        <is>
          <t>Suzhou Jiangsu / 江苏苏州</t>
        </is>
      </c>
      <c r="C15" s="19">
        <f>O15/курс</f>
        <v/>
      </c>
      <c r="D15" s="19">
        <f>N15/курс</f>
        <v/>
      </c>
      <c r="E15" s="19">
        <f>Controls!$B$17/курс</f>
        <v/>
      </c>
      <c r="F15" s="20">
        <f>Controls!$B$18/курс</f>
        <v/>
      </c>
      <c r="G15" s="20">
        <f>Controls!$B$19/курс</f>
        <v/>
      </c>
      <c r="H15" t="inlineStr">
        <is>
          <t>Да</t>
        </is>
      </c>
      <c r="I15" t="inlineStr">
        <is>
          <t>Авто = MAX(м³×USD/м³; т×USD/т) + комиссия агента + pickup charge</t>
        </is>
      </c>
      <c r="J15" t="inlineStr">
        <is>
          <t>Qingdao</t>
        </is>
      </c>
      <c r="K15" t="inlineStr">
        <is>
          <t>青岛</t>
        </is>
      </c>
      <c r="M15" t="inlineStr">
        <is>
          <t>Qingdao</t>
        </is>
      </c>
      <c r="N15" t="n">
        <v>300</v>
      </c>
      <c r="O15" t="n">
        <v>90</v>
      </c>
      <c r="Q15" t="n">
        <v>200</v>
      </c>
      <c r="T15" s="15" t="n"/>
      <c r="U15" s="15" t="n"/>
    </row>
    <row r="16" ht="15" customHeight="1">
      <c r="A16" t="inlineStr">
        <is>
          <t>Yantai / 烟台</t>
        </is>
      </c>
      <c r="B16" s="13" t="inlineStr">
        <is>
          <t>Suzhou Jiangsu / 江苏苏州</t>
        </is>
      </c>
      <c r="C16" s="19">
        <f>O16/курс</f>
        <v/>
      </c>
      <c r="D16" s="19">
        <f>N16/курс</f>
        <v/>
      </c>
      <c r="E16" s="19">
        <f>Controls!$B$17/курс</f>
        <v/>
      </c>
      <c r="F16" s="20">
        <f>Controls!$B$18/курс</f>
        <v/>
      </c>
      <c r="G16" s="20">
        <f>Controls!$B$19/курс</f>
        <v/>
      </c>
      <c r="H16" t="inlineStr">
        <is>
          <t>Да</t>
        </is>
      </c>
      <c r="I16" t="inlineStr">
        <is>
          <t>Авто = MAX(м³×USD/м³; т×USD/т) + комиссия агента + pickup charge</t>
        </is>
      </c>
      <c r="J16" t="inlineStr">
        <is>
          <t>Yantai</t>
        </is>
      </c>
      <c r="K16" t="inlineStr">
        <is>
          <t>烟台</t>
        </is>
      </c>
      <c r="M16" t="inlineStr">
        <is>
          <t>Yantai</t>
        </is>
      </c>
      <c r="N16" t="n">
        <v>450</v>
      </c>
      <c r="O16" t="n">
        <v>130</v>
      </c>
      <c r="Q16" t="n">
        <v>200</v>
      </c>
      <c r="T16" s="15" t="n"/>
      <c r="U16" s="15" t="n"/>
    </row>
    <row r="17" ht="15" customHeight="1">
      <c r="A17" t="inlineStr">
        <is>
          <t>Zibo / 淄博</t>
        </is>
      </c>
      <c r="B17" s="13" t="inlineStr">
        <is>
          <t>Suzhou Jiangsu / 江苏苏州</t>
        </is>
      </c>
      <c r="C17" s="19">
        <f>O17/курс</f>
        <v/>
      </c>
      <c r="D17" s="19">
        <f>N17/курс</f>
        <v/>
      </c>
      <c r="E17" s="19">
        <f>Controls!$B$17/курс</f>
        <v/>
      </c>
      <c r="F17" s="20">
        <f>Controls!$B$18/курс</f>
        <v/>
      </c>
      <c r="G17" s="20">
        <f>Controls!$B$19/курс</f>
        <v/>
      </c>
      <c r="H17" t="inlineStr">
        <is>
          <t>Да</t>
        </is>
      </c>
      <c r="I17" t="inlineStr">
        <is>
          <t>Авто = MAX(м³×USD/м³; т×USD/т) + комиссия агента + pickup charge</t>
        </is>
      </c>
      <c r="J17" t="inlineStr">
        <is>
          <t>Zibo</t>
        </is>
      </c>
      <c r="K17" t="inlineStr">
        <is>
          <t>淄博</t>
        </is>
      </c>
      <c r="M17" t="inlineStr">
        <is>
          <t>Zibo</t>
        </is>
      </c>
      <c r="N17" t="n">
        <v>300</v>
      </c>
      <c r="O17" t="n">
        <v>100</v>
      </c>
      <c r="Q17" t="n">
        <v>200</v>
      </c>
      <c r="T17" s="15" t="n"/>
      <c r="U17" s="15" t="n"/>
    </row>
    <row r="18" ht="15" customHeight="1">
      <c r="A18" t="inlineStr">
        <is>
          <t>Weifang / 潍坊</t>
        </is>
      </c>
      <c r="B18" s="13" t="inlineStr">
        <is>
          <t>Suzhou Jiangsu / 江苏苏州</t>
        </is>
      </c>
      <c r="C18" s="19">
        <f>O18/курс</f>
        <v/>
      </c>
      <c r="D18" s="19">
        <f>N18/курс</f>
        <v/>
      </c>
      <c r="E18" s="19">
        <f>Controls!$B$17/курс</f>
        <v/>
      </c>
      <c r="F18" s="20">
        <f>Controls!$B$18/курс</f>
        <v/>
      </c>
      <c r="G18" s="20">
        <f>Controls!$B$19/курс</f>
        <v/>
      </c>
      <c r="H18" t="inlineStr">
        <is>
          <t>Да</t>
        </is>
      </c>
      <c r="I18" t="inlineStr">
        <is>
          <t>Авто = MAX(м³×USD/м³; т×USD/т) + комиссия агента + pickup charge</t>
        </is>
      </c>
      <c r="J18" t="inlineStr">
        <is>
          <t>Weifang</t>
        </is>
      </c>
      <c r="K18" t="inlineStr">
        <is>
          <t>潍坊</t>
        </is>
      </c>
      <c r="M18" t="inlineStr">
        <is>
          <t>Weifang</t>
        </is>
      </c>
      <c r="N18" t="n">
        <v>300</v>
      </c>
      <c r="O18" t="n">
        <v>100</v>
      </c>
      <c r="Q18" t="n">
        <v>200</v>
      </c>
      <c r="T18" s="15" t="n"/>
      <c r="U18" s="15" t="n"/>
    </row>
    <row r="19" ht="15" customHeight="1">
      <c r="A19" t="inlineStr">
        <is>
          <t>Jining</t>
        </is>
      </c>
      <c r="B19" s="13" t="inlineStr">
        <is>
          <t>Suzhou Jiangsu / 江苏苏州</t>
        </is>
      </c>
      <c r="C19" s="19">
        <f>O19/курс</f>
        <v/>
      </c>
      <c r="D19" s="19">
        <f>N19/курс</f>
        <v/>
      </c>
      <c r="E19" s="19">
        <f>Controls!$B$17/курс</f>
        <v/>
      </c>
      <c r="F19" s="20">
        <f>Controls!$B$18/курс</f>
        <v/>
      </c>
      <c r="G19" s="20">
        <f>Controls!$B$19/курс</f>
        <v/>
      </c>
      <c r="H19" t="inlineStr">
        <is>
          <t>Да</t>
        </is>
      </c>
      <c r="I19" t="inlineStr">
        <is>
          <t>Авто = MAX(м³×USD/м³; т×USD/т) + комиссия агента + pickup charge</t>
        </is>
      </c>
      <c r="J19" t="inlineStr">
        <is>
          <t>Jining</t>
        </is>
      </c>
      <c r="K19" t="inlineStr"/>
      <c r="M19" t="inlineStr">
        <is>
          <t>Jining</t>
        </is>
      </c>
      <c r="N19" t="n">
        <v>300</v>
      </c>
      <c r="O19" t="n">
        <v>100</v>
      </c>
      <c r="Q19" t="n">
        <v>200</v>
      </c>
      <c r="T19" s="15" t="n"/>
      <c r="U19" s="15" t="n"/>
    </row>
    <row r="20" ht="15" customHeight="1">
      <c r="A20" t="inlineStr">
        <is>
          <t>Dezhou</t>
        </is>
      </c>
      <c r="B20" s="13" t="inlineStr">
        <is>
          <t>Suzhou Jiangsu / 江苏苏州</t>
        </is>
      </c>
      <c r="C20" s="19">
        <f>O20/курс</f>
        <v/>
      </c>
      <c r="D20" s="19">
        <f>N20/курс</f>
        <v/>
      </c>
      <c r="E20" s="19">
        <f>Controls!$B$17/курс</f>
        <v/>
      </c>
      <c r="F20" s="20">
        <f>Controls!$B$18/курс</f>
        <v/>
      </c>
      <c r="G20" s="20">
        <f>Controls!$B$19/курс</f>
        <v/>
      </c>
      <c r="H20" t="inlineStr">
        <is>
          <t>Да</t>
        </is>
      </c>
      <c r="I20" t="inlineStr">
        <is>
          <t>Авто = MAX(м³×USD/м³; т×USD/т) + комиссия агента + pickup charge</t>
        </is>
      </c>
      <c r="J20" t="inlineStr">
        <is>
          <t>Dezhou</t>
        </is>
      </c>
      <c r="K20" t="inlineStr"/>
      <c r="M20" t="inlineStr">
        <is>
          <t>Dezhou</t>
        </is>
      </c>
      <c r="N20" t="n">
        <v>300</v>
      </c>
      <c r="O20" t="n">
        <v>100</v>
      </c>
      <c r="Q20" t="n">
        <v>200</v>
      </c>
      <c r="T20" s="15" t="n"/>
      <c r="U20" s="15" t="n"/>
    </row>
    <row r="21" ht="15" customHeight="1">
      <c r="A21" t="inlineStr">
        <is>
          <t>Linyi / 临沂</t>
        </is>
      </c>
      <c r="B21" s="13" t="inlineStr">
        <is>
          <t>Suzhou Jiangsu / 江苏苏州</t>
        </is>
      </c>
      <c r="C21" s="19">
        <f>O21/курс</f>
        <v/>
      </c>
      <c r="D21" s="19">
        <f>N21/курс</f>
        <v/>
      </c>
      <c r="E21" s="19">
        <f>Controls!$B$17/курс</f>
        <v/>
      </c>
      <c r="F21" s="20">
        <f>Controls!$B$18/курс</f>
        <v/>
      </c>
      <c r="G21" s="20">
        <f>Controls!$B$19/курс</f>
        <v/>
      </c>
      <c r="H21" t="inlineStr">
        <is>
          <t>Да</t>
        </is>
      </c>
      <c r="I21" t="inlineStr">
        <is>
          <t>Авто = MAX(м³×USD/м³; т×USD/т) + комиссия агента + pickup charge</t>
        </is>
      </c>
      <c r="J21" t="inlineStr">
        <is>
          <t>Linyi</t>
        </is>
      </c>
      <c r="K21" t="inlineStr">
        <is>
          <t>临沂</t>
        </is>
      </c>
      <c r="M21" t="inlineStr">
        <is>
          <t>Linyi</t>
        </is>
      </c>
      <c r="N21" t="n">
        <v>250</v>
      </c>
      <c r="O21" t="n">
        <v>75</v>
      </c>
      <c r="Q21" t="n">
        <v>200</v>
      </c>
      <c r="T21" s="15" t="n"/>
      <c r="U21" s="15" t="n"/>
    </row>
    <row r="22" ht="15" customHeight="1">
      <c r="A22" t="inlineStr">
        <is>
          <t>Nanjing / 南京</t>
        </is>
      </c>
      <c r="B22" s="13" t="inlineStr">
        <is>
          <t>Suzhou Jiangsu / 江苏苏州</t>
        </is>
      </c>
      <c r="C22" s="19">
        <f>O22/курс</f>
        <v/>
      </c>
      <c r="D22" s="19">
        <f>N22/курс</f>
        <v/>
      </c>
      <c r="E22" s="19">
        <f>Controls!$B$17/курс</f>
        <v/>
      </c>
      <c r="F22" s="20">
        <f>Controls!$B$18/курс</f>
        <v/>
      </c>
      <c r="G22" s="20">
        <f>Controls!$B$19/курс</f>
        <v/>
      </c>
      <c r="H22" t="inlineStr">
        <is>
          <t>Да</t>
        </is>
      </c>
      <c r="I22" t="inlineStr">
        <is>
          <t>Авто = MAX(м³×USD/м³; т×USD/т) + комиссия агента + pickup charge</t>
        </is>
      </c>
      <c r="J22" t="inlineStr">
        <is>
          <t>Nanjing</t>
        </is>
      </c>
      <c r="K22" t="inlineStr">
        <is>
          <t>南京</t>
        </is>
      </c>
      <c r="M22" t="inlineStr">
        <is>
          <t>Nanjing</t>
        </is>
      </c>
      <c r="N22" t="n">
        <v>150</v>
      </c>
      <c r="O22" t="n">
        <v>50</v>
      </c>
      <c r="Q22" t="n">
        <v>200</v>
      </c>
      <c r="T22" s="15" t="n"/>
      <c r="U22" s="15" t="n"/>
    </row>
    <row r="23" ht="15" customHeight="1">
      <c r="A23" t="inlineStr">
        <is>
          <t>Wuxi / 无锡</t>
        </is>
      </c>
      <c r="B23" s="13" t="inlineStr">
        <is>
          <t>Suzhou Jiangsu / 江苏苏州</t>
        </is>
      </c>
      <c r="C23" s="19">
        <f>O23/курс</f>
        <v/>
      </c>
      <c r="D23" s="19">
        <f>N23/курс</f>
        <v/>
      </c>
      <c r="E23" s="19">
        <f>Controls!$B$17/курс</f>
        <v/>
      </c>
      <c r="F23" s="20">
        <f>Controls!$B$18/курс</f>
        <v/>
      </c>
      <c r="G23" s="20">
        <f>Controls!$B$19/курс</f>
        <v/>
      </c>
      <c r="H23" t="inlineStr">
        <is>
          <t>Да</t>
        </is>
      </c>
      <c r="I23" t="inlineStr">
        <is>
          <t>Авто = MAX(м³×USD/м³; т×USD/т) + комиссия агента + pickup charge</t>
        </is>
      </c>
      <c r="J23" t="inlineStr">
        <is>
          <t>Wuxi</t>
        </is>
      </c>
      <c r="K23" t="inlineStr">
        <is>
          <t>无锡</t>
        </is>
      </c>
      <c r="M23" t="inlineStr">
        <is>
          <t>Wuxi</t>
        </is>
      </c>
      <c r="N23" t="n">
        <v>150</v>
      </c>
      <c r="O23" t="n">
        <v>50</v>
      </c>
      <c r="Q23" t="n">
        <v>200</v>
      </c>
      <c r="T23" s="15" t="n"/>
      <c r="U23" s="15" t="n"/>
    </row>
    <row r="24" ht="15" customHeight="1">
      <c r="A24" t="inlineStr">
        <is>
          <t>Changzhou</t>
        </is>
      </c>
      <c r="B24" s="13" t="inlineStr">
        <is>
          <t>Suzhou Jiangsu / 江苏苏州</t>
        </is>
      </c>
      <c r="C24" s="19">
        <f>O24/курс</f>
        <v/>
      </c>
      <c r="D24" s="19">
        <f>N24/курс</f>
        <v/>
      </c>
      <c r="E24" s="19">
        <f>Controls!$B$17/курс</f>
        <v/>
      </c>
      <c r="F24" s="20">
        <f>Controls!$B$18/курс</f>
        <v/>
      </c>
      <c r="G24" s="20">
        <f>Controls!$B$19/курс</f>
        <v/>
      </c>
      <c r="H24" t="inlineStr">
        <is>
          <t>Да</t>
        </is>
      </c>
      <c r="I24" t="inlineStr">
        <is>
          <t>Авто = MAX(м³×USD/м³; т×USD/т) + комиссия агента + pickup charge</t>
        </is>
      </c>
      <c r="J24" t="inlineStr">
        <is>
          <t>Changzhou</t>
        </is>
      </c>
      <c r="K24" t="inlineStr"/>
      <c r="M24" t="inlineStr">
        <is>
          <t>Changzhou</t>
        </is>
      </c>
      <c r="N24" t="n">
        <v>150</v>
      </c>
      <c r="O24" t="n">
        <v>50</v>
      </c>
      <c r="Q24" t="n">
        <v>200</v>
      </c>
      <c r="T24" s="15" t="n"/>
      <c r="U24" s="15" t="n"/>
    </row>
    <row r="25" ht="15" customHeight="1">
      <c r="A25" t="inlineStr">
        <is>
          <t>Suzhou / 苏州</t>
        </is>
      </c>
      <c r="B25" s="13" t="inlineStr">
        <is>
          <t>Suzhou Jiangsu / 江苏苏州</t>
        </is>
      </c>
      <c r="C25" s="19">
        <f>O25/курс</f>
        <v/>
      </c>
      <c r="D25" s="19">
        <f>N25/курс</f>
        <v/>
      </c>
      <c r="E25" s="19">
        <f>Controls!$B$17/курс</f>
        <v/>
      </c>
      <c r="F25" s="20">
        <f>Controls!$B$18/курс</f>
        <v/>
      </c>
      <c r="G25" s="20">
        <f>Controls!$B$19/курс</f>
        <v/>
      </c>
      <c r="H25" t="inlineStr">
        <is>
          <t>Да</t>
        </is>
      </c>
      <c r="I25" t="inlineStr">
        <is>
          <t>Авто = MAX(м³×USD/м³; т×USD/т) + комиссия агента + pickup charge</t>
        </is>
      </c>
      <c r="J25" t="inlineStr">
        <is>
          <t>Suzhou</t>
        </is>
      </c>
      <c r="K25" t="inlineStr">
        <is>
          <t>苏州</t>
        </is>
      </c>
      <c r="M25" t="inlineStr">
        <is>
          <t>Suzhou</t>
        </is>
      </c>
      <c r="N25" t="n">
        <v>80</v>
      </c>
      <c r="O25" t="n">
        <v>40</v>
      </c>
      <c r="Q25" t="n">
        <v>200</v>
      </c>
      <c r="T25" s="15" t="n"/>
      <c r="U25" s="15" t="n"/>
    </row>
    <row r="26" ht="15" customHeight="1">
      <c r="A26" t="inlineStr">
        <is>
          <t>Kunshan</t>
        </is>
      </c>
      <c r="B26" s="13" t="inlineStr">
        <is>
          <t>Suzhou Jiangsu / 江苏苏州</t>
        </is>
      </c>
      <c r="C26" s="19">
        <f>O26/курс</f>
        <v/>
      </c>
      <c r="D26" s="19">
        <f>N26/курс</f>
        <v/>
      </c>
      <c r="E26" s="19">
        <f>Controls!$B$17/курс</f>
        <v/>
      </c>
      <c r="F26" s="20">
        <f>Controls!$B$18/курс</f>
        <v/>
      </c>
      <c r="G26" s="20">
        <f>Controls!$B$19/курс</f>
        <v/>
      </c>
      <c r="H26" t="inlineStr">
        <is>
          <t>Да</t>
        </is>
      </c>
      <c r="I26" t="inlineStr">
        <is>
          <t>Авто = MAX(м³×USD/м³; т×USD/т) + комиссия агента + pickup charge</t>
        </is>
      </c>
      <c r="J26" t="inlineStr">
        <is>
          <t>Kunshan</t>
        </is>
      </c>
      <c r="K26" t="inlineStr"/>
      <c r="M26" t="inlineStr">
        <is>
          <t>Kunshan</t>
        </is>
      </c>
      <c r="N26" t="n">
        <v>100</v>
      </c>
      <c r="O26" t="n">
        <v>50</v>
      </c>
      <c r="Q26" t="n">
        <v>200</v>
      </c>
      <c r="T26" s="15" t="n"/>
      <c r="U26" s="15" t="n"/>
    </row>
    <row r="27" ht="15" customHeight="1">
      <c r="A27" t="inlineStr">
        <is>
          <t>Taicang</t>
        </is>
      </c>
      <c r="B27" s="13" t="inlineStr">
        <is>
          <t>Suzhou Jiangsu / 江苏苏州</t>
        </is>
      </c>
      <c r="C27" s="19">
        <f>O27/курс</f>
        <v/>
      </c>
      <c r="D27" s="19">
        <f>N27/курс</f>
        <v/>
      </c>
      <c r="E27" s="19">
        <f>Controls!$B$17/курс</f>
        <v/>
      </c>
      <c r="F27" s="20">
        <f>Controls!$B$18/курс</f>
        <v/>
      </c>
      <c r="G27" s="20">
        <f>Controls!$B$19/курс</f>
        <v/>
      </c>
      <c r="H27" t="inlineStr">
        <is>
          <t>Да</t>
        </is>
      </c>
      <c r="I27" t="inlineStr">
        <is>
          <t>Авто = MAX(м³×USD/м³; т×USD/т) + комиссия агента + pickup charge</t>
        </is>
      </c>
      <c r="J27" t="inlineStr">
        <is>
          <t>Taicang</t>
        </is>
      </c>
      <c r="K27" t="inlineStr"/>
      <c r="M27" t="inlineStr">
        <is>
          <t>Taicang</t>
        </is>
      </c>
      <c r="N27" t="n">
        <v>150</v>
      </c>
      <c r="O27" t="n">
        <v>50</v>
      </c>
      <c r="Q27" t="n">
        <v>200</v>
      </c>
      <c r="T27" s="15" t="n"/>
      <c r="U27" s="15" t="n"/>
    </row>
    <row r="28" ht="15" customHeight="1">
      <c r="A28" t="inlineStr">
        <is>
          <t>Nantong</t>
        </is>
      </c>
      <c r="B28" s="13" t="inlineStr">
        <is>
          <t>Suzhou Jiangsu / 江苏苏州</t>
        </is>
      </c>
      <c r="C28" s="19">
        <f>O28/курс</f>
        <v/>
      </c>
      <c r="D28" s="19">
        <f>N28/курс</f>
        <v/>
      </c>
      <c r="E28" s="19">
        <f>Controls!$B$17/курс</f>
        <v/>
      </c>
      <c r="F28" s="20">
        <f>Controls!$B$18/курс</f>
        <v/>
      </c>
      <c r="G28" s="20">
        <f>Controls!$B$19/курс</f>
        <v/>
      </c>
      <c r="H28" t="inlineStr">
        <is>
          <t>Да</t>
        </is>
      </c>
      <c r="I28" t="inlineStr">
        <is>
          <t>Авто = MAX(м³×USD/м³; т×USD/т) + комиссия агента + pickup charge</t>
        </is>
      </c>
      <c r="J28" t="inlineStr">
        <is>
          <t>Nantong</t>
        </is>
      </c>
      <c r="K28" t="inlineStr"/>
      <c r="M28" t="inlineStr">
        <is>
          <t>Nantong</t>
        </is>
      </c>
      <c r="N28" t="n">
        <v>150</v>
      </c>
      <c r="O28" t="n">
        <v>50</v>
      </c>
      <c r="Q28" t="n">
        <v>200</v>
      </c>
      <c r="T28" s="15" t="n"/>
      <c r="U28" s="15" t="n"/>
    </row>
    <row r="29" ht="15" customHeight="1">
      <c r="A29" t="inlineStr">
        <is>
          <t>Yancheng</t>
        </is>
      </c>
      <c r="B29" s="13" t="inlineStr">
        <is>
          <t>Suzhou Jiangsu / 江苏苏州</t>
        </is>
      </c>
      <c r="C29" s="19">
        <f>O29/курс</f>
        <v/>
      </c>
      <c r="D29" s="19">
        <f>N29/курс</f>
        <v/>
      </c>
      <c r="E29" s="19">
        <f>Controls!$B$17/курс</f>
        <v/>
      </c>
      <c r="F29" s="20">
        <f>Controls!$B$18/курс</f>
        <v/>
      </c>
      <c r="G29" s="20">
        <f>Controls!$B$19/курс</f>
        <v/>
      </c>
      <c r="H29" t="inlineStr">
        <is>
          <t>Да</t>
        </is>
      </c>
      <c r="I29" t="inlineStr">
        <is>
          <t>Авто = MAX(м³×USD/м³; т×USD/т) + комиссия агента + pickup charge</t>
        </is>
      </c>
      <c r="J29" t="inlineStr">
        <is>
          <t>Yancheng</t>
        </is>
      </c>
      <c r="K29" t="inlineStr"/>
      <c r="M29" t="inlineStr">
        <is>
          <t>Yancheng</t>
        </is>
      </c>
      <c r="N29" t="n">
        <v>180</v>
      </c>
      <c r="O29" t="n">
        <v>60</v>
      </c>
      <c r="Q29" t="n">
        <v>200</v>
      </c>
      <c r="T29" s="15" t="n"/>
      <c r="U29" s="15" t="n"/>
    </row>
    <row r="30" ht="15" customHeight="1">
      <c r="A30" t="inlineStr">
        <is>
          <t>Yangzhou</t>
        </is>
      </c>
      <c r="B30" s="13" t="inlineStr">
        <is>
          <t>Suzhou Jiangsu / 江苏苏州</t>
        </is>
      </c>
      <c r="C30" s="19">
        <f>O30/курс</f>
        <v/>
      </c>
      <c r="D30" s="19">
        <f>N30/курс</f>
        <v/>
      </c>
      <c r="E30" s="19">
        <f>Controls!$B$17/курс</f>
        <v/>
      </c>
      <c r="F30" s="20">
        <f>Controls!$B$18/курс</f>
        <v/>
      </c>
      <c r="G30" s="20">
        <f>Controls!$B$19/курс</f>
        <v/>
      </c>
      <c r="H30" t="inlineStr">
        <is>
          <t>Да</t>
        </is>
      </c>
      <c r="I30" t="inlineStr">
        <is>
          <t>Авто = MAX(м³×USD/м³; т×USD/т) + комиссия агента + pickup charge</t>
        </is>
      </c>
      <c r="J30" t="inlineStr">
        <is>
          <t>Yangzhou</t>
        </is>
      </c>
      <c r="K30" t="inlineStr"/>
      <c r="M30" t="inlineStr">
        <is>
          <t>Yangzhou</t>
        </is>
      </c>
      <c r="N30" t="n">
        <v>180</v>
      </c>
      <c r="O30" t="n">
        <v>60</v>
      </c>
      <c r="Q30" t="n">
        <v>200</v>
      </c>
      <c r="T30" s="15" t="n"/>
      <c r="U30" s="15" t="n"/>
    </row>
    <row r="31" ht="15" customHeight="1">
      <c r="A31" t="inlineStr">
        <is>
          <t>Taizhou / 台州</t>
        </is>
      </c>
      <c r="B31" s="13" t="inlineStr">
        <is>
          <t>Suzhou Jiangsu / 江苏苏州</t>
        </is>
      </c>
      <c r="C31" s="19">
        <f>O31/курс</f>
        <v/>
      </c>
      <c r="D31" s="19">
        <f>N31/курс</f>
        <v/>
      </c>
      <c r="E31" s="19">
        <f>Controls!$B$17/курс</f>
        <v/>
      </c>
      <c r="F31" s="20">
        <f>Controls!$B$18/курс</f>
        <v/>
      </c>
      <c r="G31" s="20">
        <f>Controls!$B$19/курс</f>
        <v/>
      </c>
      <c r="H31" t="inlineStr">
        <is>
          <t>Да</t>
        </is>
      </c>
      <c r="I31" t="inlineStr">
        <is>
          <t>Авто = MAX(м³×USD/м³; т×USD/т) + комиссия агента + pickup charge</t>
        </is>
      </c>
      <c r="J31" t="inlineStr">
        <is>
          <t>Taizhou</t>
        </is>
      </c>
      <c r="K31" t="inlineStr">
        <is>
          <t>台州</t>
        </is>
      </c>
      <c r="M31" t="inlineStr">
        <is>
          <t>Taizhou</t>
        </is>
      </c>
      <c r="N31" t="n">
        <v>180</v>
      </c>
      <c r="O31" t="n">
        <v>60</v>
      </c>
      <c r="Q31" t="n">
        <v>200</v>
      </c>
      <c r="T31" s="15" t="n"/>
      <c r="U31" s="15" t="n"/>
    </row>
    <row r="32" ht="15" customHeight="1">
      <c r="A32" t="inlineStr">
        <is>
          <t>Xuzhou</t>
        </is>
      </c>
      <c r="B32" s="13" t="inlineStr">
        <is>
          <t>Suzhou Jiangsu / 江苏苏州</t>
        </is>
      </c>
      <c r="C32" s="19">
        <f>O32/курс</f>
        <v/>
      </c>
      <c r="D32" s="19">
        <f>N32/курс</f>
        <v/>
      </c>
      <c r="E32" s="19">
        <f>Controls!$B$17/курс</f>
        <v/>
      </c>
      <c r="F32" s="20">
        <f>Controls!$B$18/курс</f>
        <v/>
      </c>
      <c r="G32" s="20">
        <f>Controls!$B$19/курс</f>
        <v/>
      </c>
      <c r="H32" t="inlineStr">
        <is>
          <t>Да</t>
        </is>
      </c>
      <c r="I32" t="inlineStr">
        <is>
          <t>Авто = MAX(м³×USD/м³; т×USD/т) + комиссия агента + pickup charge</t>
        </is>
      </c>
      <c r="J32" t="inlineStr">
        <is>
          <t>Xuzhou</t>
        </is>
      </c>
      <c r="K32" t="inlineStr"/>
      <c r="M32" t="inlineStr">
        <is>
          <t>Xuzhou</t>
        </is>
      </c>
      <c r="N32" t="n">
        <v>250</v>
      </c>
      <c r="O32" t="n">
        <v>70</v>
      </c>
      <c r="Q32" t="n">
        <v>200</v>
      </c>
      <c r="T32" s="15" t="n"/>
      <c r="U32" s="15" t="n"/>
    </row>
    <row r="33" ht="15" customHeight="1">
      <c r="A33" t="inlineStr">
        <is>
          <t>Hangzhou / 杭州</t>
        </is>
      </c>
      <c r="B33" s="13" t="inlineStr">
        <is>
          <t>Suzhou Jiangsu / 江苏苏州</t>
        </is>
      </c>
      <c r="C33" s="19">
        <f>O33/курс</f>
        <v/>
      </c>
      <c r="D33" s="19">
        <f>N33/курс</f>
        <v/>
      </c>
      <c r="E33" s="19">
        <f>Controls!$B$17/курс</f>
        <v/>
      </c>
      <c r="F33" s="20">
        <f>Controls!$B$18/курс</f>
        <v/>
      </c>
      <c r="G33" s="20">
        <f>Controls!$B$19/курс</f>
        <v/>
      </c>
      <c r="H33" t="inlineStr">
        <is>
          <t>Да</t>
        </is>
      </c>
      <c r="I33" t="inlineStr">
        <is>
          <t>Авто = MAX(м³×USD/м³; т×USD/т) + комиссия агента + pickup charge</t>
        </is>
      </c>
      <c r="J33" t="inlineStr">
        <is>
          <t>Hangzhou</t>
        </is>
      </c>
      <c r="K33" t="inlineStr">
        <is>
          <t>杭州</t>
        </is>
      </c>
      <c r="M33" t="inlineStr">
        <is>
          <t>Hangzhou</t>
        </is>
      </c>
      <c r="N33" t="n">
        <v>180</v>
      </c>
      <c r="O33" t="n">
        <v>60</v>
      </c>
      <c r="Q33" t="n">
        <v>200</v>
      </c>
      <c r="T33" s="15" t="n"/>
      <c r="U33" s="15" t="n"/>
    </row>
    <row r="34" ht="15" customHeight="1">
      <c r="A34" t="inlineStr">
        <is>
          <t>Ningbo / 宁波</t>
        </is>
      </c>
      <c r="B34" s="13" t="inlineStr">
        <is>
          <t>Suzhou Jiangsu / 江苏苏州</t>
        </is>
      </c>
      <c r="C34" s="19">
        <f>O34/курс</f>
        <v/>
      </c>
      <c r="D34" s="19">
        <f>N34/курс</f>
        <v/>
      </c>
      <c r="E34" s="19">
        <f>Controls!$B$17/курс</f>
        <v/>
      </c>
      <c r="F34" s="20">
        <f>Controls!$B$18/курс</f>
        <v/>
      </c>
      <c r="G34" s="20">
        <f>Controls!$B$19/курс</f>
        <v/>
      </c>
      <c r="H34" t="inlineStr">
        <is>
          <t>Да</t>
        </is>
      </c>
      <c r="I34" t="inlineStr">
        <is>
          <t>Авто = MAX(м³×USD/м³; т×USD/т) + комиссия агента + pickup charge</t>
        </is>
      </c>
      <c r="J34" t="inlineStr">
        <is>
          <t>Ningbo</t>
        </is>
      </c>
      <c r="K34" t="inlineStr">
        <is>
          <t>宁波</t>
        </is>
      </c>
      <c r="M34" t="inlineStr">
        <is>
          <t>Ningbo</t>
        </is>
      </c>
      <c r="N34" t="n">
        <v>180</v>
      </c>
      <c r="O34" t="n">
        <v>60</v>
      </c>
      <c r="Q34" t="n">
        <v>200</v>
      </c>
      <c r="T34" s="15" t="n"/>
      <c r="U34" s="15" t="n"/>
    </row>
    <row r="35" ht="15" customHeight="1">
      <c r="A35" t="inlineStr">
        <is>
          <t>Taizhou / 台州</t>
        </is>
      </c>
      <c r="B35" s="13" t="inlineStr">
        <is>
          <t>Suzhou Jiangsu / 江苏苏州</t>
        </is>
      </c>
      <c r="C35" s="19">
        <f>O35/курс</f>
        <v/>
      </c>
      <c r="D35" s="19">
        <f>N35/курс</f>
        <v/>
      </c>
      <c r="E35" s="19">
        <f>Controls!$B$17/курс</f>
        <v/>
      </c>
      <c r="F35" s="20">
        <f>Controls!$B$18/курс</f>
        <v/>
      </c>
      <c r="G35" s="20">
        <f>Controls!$B$19/курс</f>
        <v/>
      </c>
      <c r="H35" t="inlineStr">
        <is>
          <t>Да</t>
        </is>
      </c>
      <c r="I35" t="inlineStr">
        <is>
          <t>Авто = MAX(м³×USD/м³; т×USD/т) + комиссия агента + pickup charge</t>
        </is>
      </c>
      <c r="J35" t="inlineStr">
        <is>
          <t>Taizhou</t>
        </is>
      </c>
      <c r="K35" t="inlineStr">
        <is>
          <t>台州</t>
        </is>
      </c>
      <c r="M35" t="inlineStr">
        <is>
          <t>Taizhou</t>
        </is>
      </c>
      <c r="N35" t="n">
        <v>250</v>
      </c>
      <c r="O35" t="n">
        <v>80</v>
      </c>
      <c r="Q35" t="n">
        <v>200</v>
      </c>
      <c r="T35" s="15" t="n"/>
      <c r="U35" s="15" t="n"/>
    </row>
    <row r="36" ht="15" customHeight="1">
      <c r="A36" t="inlineStr">
        <is>
          <t>Jiaxing / 嘉兴</t>
        </is>
      </c>
      <c r="B36" s="13" t="inlineStr">
        <is>
          <t>Suzhou Jiangsu / 江苏苏州</t>
        </is>
      </c>
      <c r="C36" s="19">
        <f>O36/курс</f>
        <v/>
      </c>
      <c r="D36" s="19">
        <f>N36/курс</f>
        <v/>
      </c>
      <c r="E36" s="19">
        <f>Controls!$B$17/курс</f>
        <v/>
      </c>
      <c r="F36" s="20">
        <f>Controls!$B$18/курс</f>
        <v/>
      </c>
      <c r="G36" s="20">
        <f>Controls!$B$19/курс</f>
        <v/>
      </c>
      <c r="H36" t="inlineStr">
        <is>
          <t>Да</t>
        </is>
      </c>
      <c r="I36" t="inlineStr">
        <is>
          <t>Авто = MAX(м³×USD/м³; т×USD/т) + комиссия агента + pickup charge</t>
        </is>
      </c>
      <c r="J36" t="inlineStr">
        <is>
          <t>Jiaxing</t>
        </is>
      </c>
      <c r="K36" t="inlineStr">
        <is>
          <t>嘉兴</t>
        </is>
      </c>
      <c r="M36" t="inlineStr">
        <is>
          <t>Jiaxing</t>
        </is>
      </c>
      <c r="N36" t="n">
        <v>180</v>
      </c>
      <c r="O36" t="n">
        <v>60</v>
      </c>
      <c r="Q36" t="n">
        <v>200</v>
      </c>
      <c r="T36" s="15" t="n"/>
      <c r="U36" s="15" t="n"/>
    </row>
    <row r="37" ht="15" customHeight="1">
      <c r="A37" t="inlineStr">
        <is>
          <t>Quzhou</t>
        </is>
      </c>
      <c r="B37" s="13" t="inlineStr">
        <is>
          <t>Suzhou Jiangsu / 江苏苏州</t>
        </is>
      </c>
      <c r="C37" s="19">
        <f>O37/курс</f>
        <v/>
      </c>
      <c r="D37" s="19">
        <f>N37/курс</f>
        <v/>
      </c>
      <c r="E37" s="19">
        <f>Controls!$B$17/курс</f>
        <v/>
      </c>
      <c r="F37" s="20">
        <f>Controls!$B$18/курс</f>
        <v/>
      </c>
      <c r="G37" s="20">
        <f>Controls!$B$19/курс</f>
        <v/>
      </c>
      <c r="H37" t="inlineStr">
        <is>
          <t>Да</t>
        </is>
      </c>
      <c r="I37" t="inlineStr">
        <is>
          <t>Авто = MAX(м³×USD/м³; т×USD/т) + комиссия агента + pickup charge</t>
        </is>
      </c>
      <c r="J37" t="inlineStr">
        <is>
          <t>Quzhou</t>
        </is>
      </c>
      <c r="K37" t="inlineStr"/>
      <c r="M37" t="inlineStr">
        <is>
          <t>Quzhou</t>
        </is>
      </c>
      <c r="N37" t="n">
        <v>350</v>
      </c>
      <c r="O37" t="n">
        <v>100</v>
      </c>
      <c r="Q37" t="n">
        <v>200</v>
      </c>
      <c r="T37" s="15" t="n"/>
      <c r="U37" s="15" t="n"/>
    </row>
    <row r="38" ht="15" customHeight="1">
      <c r="A38" t="inlineStr">
        <is>
          <t>Fuzhou / 福州</t>
        </is>
      </c>
      <c r="B38" s="13" t="inlineStr">
        <is>
          <t>Suzhou Jiangsu / 江苏苏州</t>
        </is>
      </c>
      <c r="C38" s="19">
        <f>O38/курс</f>
        <v/>
      </c>
      <c r="D38" s="19">
        <f>N38/курс</f>
        <v/>
      </c>
      <c r="E38" s="19">
        <f>Controls!$B$17/курс</f>
        <v/>
      </c>
      <c r="F38" s="20">
        <f>Controls!$B$18/курс</f>
        <v/>
      </c>
      <c r="G38" s="20">
        <f>Controls!$B$19/курс</f>
        <v/>
      </c>
      <c r="H38" t="inlineStr">
        <is>
          <t>Да</t>
        </is>
      </c>
      <c r="I38" t="inlineStr">
        <is>
          <t>Авто = MAX(м³×USD/м³; т×USD/т) + комиссия агента + pickup charge</t>
        </is>
      </c>
      <c r="J38" t="inlineStr">
        <is>
          <t>Fuzhou</t>
        </is>
      </c>
      <c r="K38" t="inlineStr">
        <is>
          <t>福州</t>
        </is>
      </c>
      <c r="M38" t="inlineStr">
        <is>
          <t>Fuzhou</t>
        </is>
      </c>
      <c r="N38" t="n">
        <v>350</v>
      </c>
      <c r="O38" t="n">
        <v>100</v>
      </c>
      <c r="Q38" t="n">
        <v>200</v>
      </c>
      <c r="T38" s="15" t="n"/>
      <c r="U38" s="15" t="n"/>
    </row>
    <row r="39" ht="15" customHeight="1">
      <c r="A39" t="inlineStr">
        <is>
          <t>Quanzhou / 泉州</t>
        </is>
      </c>
      <c r="B39" s="13" t="inlineStr">
        <is>
          <t>Suzhou Jiangsu / 江苏苏州</t>
        </is>
      </c>
      <c r="C39" s="19">
        <f>O39/курс</f>
        <v/>
      </c>
      <c r="D39" s="19">
        <f>N39/курс</f>
        <v/>
      </c>
      <c r="E39" s="19">
        <f>Controls!$B$17/курс</f>
        <v/>
      </c>
      <c r="F39" s="20">
        <f>Controls!$B$18/курс</f>
        <v/>
      </c>
      <c r="G39" s="20">
        <f>Controls!$B$19/курс</f>
        <v/>
      </c>
      <c r="H39" t="inlineStr">
        <is>
          <t>Да</t>
        </is>
      </c>
      <c r="I39" t="inlineStr">
        <is>
          <t>Авто = MAX(м³×USD/м³; т×USD/т) + комиссия агента + pickup charge</t>
        </is>
      </c>
      <c r="J39" t="inlineStr">
        <is>
          <t>Quanzhou</t>
        </is>
      </c>
      <c r="K39" t="inlineStr">
        <is>
          <t>泉州</t>
        </is>
      </c>
      <c r="M39" t="inlineStr">
        <is>
          <t>Quanzhou</t>
        </is>
      </c>
      <c r="N39" t="n">
        <v>400</v>
      </c>
      <c r="O39" t="n">
        <v>110</v>
      </c>
      <c r="Q39" t="n">
        <v>200</v>
      </c>
      <c r="T39" s="15" t="n"/>
      <c r="U39" s="15" t="n"/>
    </row>
    <row r="40" ht="15" customHeight="1">
      <c r="A40" t="inlineStr">
        <is>
          <t>Xiamen / 厦门</t>
        </is>
      </c>
      <c r="B40" s="13" t="inlineStr">
        <is>
          <t>Suzhou Jiangsu / 江苏苏州</t>
        </is>
      </c>
      <c r="C40" s="19">
        <f>O40/курс</f>
        <v/>
      </c>
      <c r="D40" s="19">
        <f>N40/курс</f>
        <v/>
      </c>
      <c r="E40" s="19">
        <f>Controls!$B$17/курс</f>
        <v/>
      </c>
      <c r="F40" s="20">
        <f>Controls!$B$18/курс</f>
        <v/>
      </c>
      <c r="G40" s="20">
        <f>Controls!$B$19/курс</f>
        <v/>
      </c>
      <c r="H40" t="inlineStr">
        <is>
          <t>Да</t>
        </is>
      </c>
      <c r="I40" t="inlineStr">
        <is>
          <t>Авто = MAX(м³×USD/м³; т×USD/т) + комиссия агента + pickup charge</t>
        </is>
      </c>
      <c r="J40" t="inlineStr">
        <is>
          <t>Xiamen</t>
        </is>
      </c>
      <c r="K40" t="inlineStr">
        <is>
          <t>厦门</t>
        </is>
      </c>
      <c r="M40" t="inlineStr">
        <is>
          <t>Xiamen</t>
        </is>
      </c>
      <c r="N40" t="n">
        <v>400</v>
      </c>
      <c r="O40" t="n">
        <v>110</v>
      </c>
      <c r="Q40" t="n">
        <v>200</v>
      </c>
      <c r="T40" s="15" t="n"/>
      <c r="U40" s="15" t="n"/>
    </row>
    <row r="41" ht="15" customHeight="1">
      <c r="A41" t="inlineStr">
        <is>
          <t>Zhangzhou / 漳州</t>
        </is>
      </c>
      <c r="B41" s="13" t="inlineStr">
        <is>
          <t>Suzhou Jiangsu / 江苏苏州</t>
        </is>
      </c>
      <c r="C41" s="19">
        <f>O41/курс</f>
        <v/>
      </c>
      <c r="D41" s="19">
        <f>N41/курс</f>
        <v/>
      </c>
      <c r="E41" s="19">
        <f>Controls!$B$17/курс</f>
        <v/>
      </c>
      <c r="F41" s="20">
        <f>Controls!$B$18/курс</f>
        <v/>
      </c>
      <c r="G41" s="20">
        <f>Controls!$B$19/курс</f>
        <v/>
      </c>
      <c r="H41" t="inlineStr">
        <is>
          <t>Да</t>
        </is>
      </c>
      <c r="I41" t="inlineStr">
        <is>
          <t>Авто = MAX(м³×USD/м³; т×USD/т) + комиссия агента + pickup charge</t>
        </is>
      </c>
      <c r="J41" t="inlineStr">
        <is>
          <t>Zhangzhou</t>
        </is>
      </c>
      <c r="K41" t="inlineStr">
        <is>
          <t>漳州</t>
        </is>
      </c>
      <c r="M41" t="inlineStr">
        <is>
          <t>Zhangzhou</t>
        </is>
      </c>
      <c r="N41" t="n">
        <v>400</v>
      </c>
      <c r="O41" t="n">
        <v>110</v>
      </c>
      <c r="Q41" t="n">
        <v>200</v>
      </c>
      <c r="T41" s="15" t="n"/>
      <c r="U41" s="15" t="n"/>
    </row>
    <row r="42" ht="15" customHeight="1">
      <c r="A42" t="inlineStr">
        <is>
          <t>Guangzhou / 广州</t>
        </is>
      </c>
      <c r="B42" s="13" t="inlineStr">
        <is>
          <t>Suzhou Jiangsu / 江苏苏州</t>
        </is>
      </c>
      <c r="C42" s="19">
        <f>O42/курс</f>
        <v/>
      </c>
      <c r="D42" s="19">
        <f>N42/курс</f>
        <v/>
      </c>
      <c r="E42" s="19">
        <f>Controls!$B$17/курс</f>
        <v/>
      </c>
      <c r="F42" s="20">
        <f>Controls!$B$18/курс</f>
        <v/>
      </c>
      <c r="G42" s="20">
        <f>Controls!$B$19/курс</f>
        <v/>
      </c>
      <c r="H42" t="inlineStr">
        <is>
          <t>Да</t>
        </is>
      </c>
      <c r="I42" t="inlineStr">
        <is>
          <t>Авто = MAX(м³×USD/м³; т×USD/т) + комиссия агента + pickup charge</t>
        </is>
      </c>
      <c r="J42" t="inlineStr">
        <is>
          <t>Guangzhou</t>
        </is>
      </c>
      <c r="K42" t="inlineStr">
        <is>
          <t>广州</t>
        </is>
      </c>
      <c r="M42" t="inlineStr">
        <is>
          <t>Guangzhou</t>
        </is>
      </c>
      <c r="N42" t="n">
        <v>450</v>
      </c>
      <c r="O42" t="n">
        <v>120</v>
      </c>
      <c r="Q42" t="n">
        <v>200</v>
      </c>
      <c r="T42" s="15" t="n"/>
      <c r="U42" s="15" t="n"/>
    </row>
    <row r="43" ht="15" customHeight="1">
      <c r="A43" t="inlineStr">
        <is>
          <t>Shenzhen / 深圳</t>
        </is>
      </c>
      <c r="B43" s="13" t="inlineStr">
        <is>
          <t>Suzhou Jiangsu / 江苏苏州</t>
        </is>
      </c>
      <c r="C43" s="19">
        <f>O43/курс</f>
        <v/>
      </c>
      <c r="D43" s="19">
        <f>N43/курс</f>
        <v/>
      </c>
      <c r="E43" s="19">
        <f>Controls!$B$17/курс</f>
        <v/>
      </c>
      <c r="F43" s="20">
        <f>Controls!$B$18/курс</f>
        <v/>
      </c>
      <c r="G43" s="20">
        <f>Controls!$B$19/курс</f>
        <v/>
      </c>
      <c r="H43" t="inlineStr">
        <is>
          <t>Да</t>
        </is>
      </c>
      <c r="I43" t="inlineStr">
        <is>
          <t>Авто = MAX(м³×USD/м³; т×USD/т) + комиссия агента + pickup charge</t>
        </is>
      </c>
      <c r="J43" t="inlineStr">
        <is>
          <t>Shenzhen</t>
        </is>
      </c>
      <c r="K43" t="inlineStr">
        <is>
          <t>深圳</t>
        </is>
      </c>
      <c r="M43" t="inlineStr">
        <is>
          <t>Shenzhen</t>
        </is>
      </c>
      <c r="N43" t="n">
        <v>450</v>
      </c>
      <c r="O43" t="n">
        <v>120</v>
      </c>
      <c r="Q43" t="n">
        <v>200</v>
      </c>
      <c r="T43" s="15" t="n"/>
      <c r="U43" s="15" t="n"/>
    </row>
    <row r="44" ht="15" customHeight="1">
      <c r="A44" t="inlineStr">
        <is>
          <t>Dongguan / 东莞</t>
        </is>
      </c>
      <c r="B44" s="13" t="inlineStr">
        <is>
          <t>Suzhou Jiangsu / 江苏苏州</t>
        </is>
      </c>
      <c r="C44" s="19">
        <f>O44/курс</f>
        <v/>
      </c>
      <c r="D44" s="19">
        <f>N44/курс</f>
        <v/>
      </c>
      <c r="E44" s="19">
        <f>Controls!$B$17/курс</f>
        <v/>
      </c>
      <c r="F44" s="20">
        <f>Controls!$B$18/курс</f>
        <v/>
      </c>
      <c r="G44" s="20">
        <f>Controls!$B$19/курс</f>
        <v/>
      </c>
      <c r="H44" t="inlineStr">
        <is>
          <t>Да</t>
        </is>
      </c>
      <c r="I44" t="inlineStr">
        <is>
          <t>Авто = MAX(м³×USD/м³; т×USD/т) + комиссия агента + pickup charge</t>
        </is>
      </c>
      <c r="J44" t="inlineStr">
        <is>
          <t>Dongguan</t>
        </is>
      </c>
      <c r="K44" t="inlineStr">
        <is>
          <t>东莞</t>
        </is>
      </c>
      <c r="M44" t="inlineStr">
        <is>
          <t>Dongguan</t>
        </is>
      </c>
      <c r="N44" t="n">
        <v>450</v>
      </c>
      <c r="O44" t="n">
        <v>120</v>
      </c>
      <c r="Q44" t="n">
        <v>200</v>
      </c>
      <c r="T44" s="15" t="n"/>
      <c r="U44" s="15" t="n"/>
    </row>
    <row r="45" ht="15" customHeight="1">
      <c r="A45" t="inlineStr">
        <is>
          <t>Foshan / 佛山</t>
        </is>
      </c>
      <c r="B45" s="13" t="inlineStr">
        <is>
          <t>Suzhou Jiangsu / 江苏苏州</t>
        </is>
      </c>
      <c r="C45" s="19">
        <f>O45/курс</f>
        <v/>
      </c>
      <c r="D45" s="19">
        <f>N45/курс</f>
        <v/>
      </c>
      <c r="E45" s="19">
        <f>Controls!$B$17/курс</f>
        <v/>
      </c>
      <c r="F45" s="20">
        <f>Controls!$B$18/курс</f>
        <v/>
      </c>
      <c r="G45" s="20">
        <f>Controls!$B$19/курс</f>
        <v/>
      </c>
      <c r="H45" t="inlineStr">
        <is>
          <t>Да</t>
        </is>
      </c>
      <c r="I45" t="inlineStr">
        <is>
          <t>Авто = MAX(м³×USD/м³; т×USD/т) + комиссия агента + pickup charge</t>
        </is>
      </c>
      <c r="J45" t="inlineStr">
        <is>
          <t>Foshan</t>
        </is>
      </c>
      <c r="K45" t="inlineStr">
        <is>
          <t>佛山</t>
        </is>
      </c>
      <c r="M45" t="inlineStr">
        <is>
          <t>Foshan</t>
        </is>
      </c>
      <c r="N45" t="n">
        <v>450</v>
      </c>
      <c r="O45" t="n">
        <v>120</v>
      </c>
      <c r="Q45" t="n">
        <v>200</v>
      </c>
      <c r="T45" s="15" t="n"/>
      <c r="U45" s="15" t="n"/>
    </row>
    <row r="46" ht="15" customHeight="1">
      <c r="A46" t="inlineStr">
        <is>
          <t>Zhongshan / 中山</t>
        </is>
      </c>
      <c r="B46" s="13" t="inlineStr">
        <is>
          <t>Suzhou Jiangsu / 江苏苏州</t>
        </is>
      </c>
      <c r="C46" s="19">
        <f>O46/курс</f>
        <v/>
      </c>
      <c r="D46" s="19">
        <f>N46/курс</f>
        <v/>
      </c>
      <c r="E46" s="19">
        <f>Controls!$B$17/курс</f>
        <v/>
      </c>
      <c r="F46" s="20">
        <f>Controls!$B$18/курс</f>
        <v/>
      </c>
      <c r="G46" s="20">
        <f>Controls!$B$19/курс</f>
        <v/>
      </c>
      <c r="H46" t="inlineStr">
        <is>
          <t>Да</t>
        </is>
      </c>
      <c r="I46" t="inlineStr">
        <is>
          <t>Авто = MAX(м³×USD/м³; т×USD/т) + комиссия агента + pickup charge</t>
        </is>
      </c>
      <c r="J46" t="inlineStr">
        <is>
          <t>Zhongshan</t>
        </is>
      </c>
      <c r="K46" t="inlineStr">
        <is>
          <t>中山</t>
        </is>
      </c>
      <c r="M46" t="inlineStr">
        <is>
          <t>Zhongshan</t>
        </is>
      </c>
      <c r="N46" t="n">
        <v>450</v>
      </c>
      <c r="O46" t="n">
        <v>120</v>
      </c>
      <c r="Q46" t="n">
        <v>200</v>
      </c>
      <c r="T46" s="15" t="n"/>
      <c r="U46" s="15" t="n"/>
    </row>
    <row r="47" ht="15" customHeight="1">
      <c r="A47" t="inlineStr">
        <is>
          <t>Jiangmen / 江门</t>
        </is>
      </c>
      <c r="B47" s="13" t="inlineStr">
        <is>
          <t>Suzhou Jiangsu / 江苏苏州</t>
        </is>
      </c>
      <c r="C47" s="19">
        <f>O47/курс</f>
        <v/>
      </c>
      <c r="D47" s="19">
        <f>N47/курс</f>
        <v/>
      </c>
      <c r="E47" s="19">
        <f>Controls!$B$17/курс</f>
        <v/>
      </c>
      <c r="F47" s="20">
        <f>Controls!$B$18/курс</f>
        <v/>
      </c>
      <c r="G47" s="20">
        <f>Controls!$B$19/курс</f>
        <v/>
      </c>
      <c r="H47" t="inlineStr">
        <is>
          <t>Да</t>
        </is>
      </c>
      <c r="I47" t="inlineStr">
        <is>
          <t>Авто = MAX(м³×USD/м³; т×USD/т) + комиссия агента + pickup charge</t>
        </is>
      </c>
      <c r="J47" t="inlineStr">
        <is>
          <t>Jiangmen</t>
        </is>
      </c>
      <c r="K47" t="inlineStr">
        <is>
          <t>江门</t>
        </is>
      </c>
      <c r="M47" t="inlineStr">
        <is>
          <t>Jiangmen</t>
        </is>
      </c>
      <c r="N47" t="n">
        <v>450</v>
      </c>
      <c r="O47" t="n">
        <v>120</v>
      </c>
      <c r="Q47" t="n">
        <v>200</v>
      </c>
      <c r="T47" s="15" t="n"/>
      <c r="U47" s="15" t="n"/>
    </row>
    <row r="48" ht="15" customHeight="1">
      <c r="A48" t="inlineStr">
        <is>
          <t>Huizhou / 惠州</t>
        </is>
      </c>
      <c r="B48" s="13" t="inlineStr">
        <is>
          <t>Suzhou Jiangsu / 江苏苏州</t>
        </is>
      </c>
      <c r="C48" s="19">
        <f>O48/курс</f>
        <v/>
      </c>
      <c r="D48" s="19">
        <f>N48/курс</f>
        <v/>
      </c>
      <c r="E48" s="19">
        <f>Controls!$B$17/курс</f>
        <v/>
      </c>
      <c r="F48" s="20">
        <f>Controls!$B$18/курс</f>
        <v/>
      </c>
      <c r="G48" s="20">
        <f>Controls!$B$19/курс</f>
        <v/>
      </c>
      <c r="H48" t="inlineStr">
        <is>
          <t>Да</t>
        </is>
      </c>
      <c r="I48" t="inlineStr">
        <is>
          <t>Авто = MAX(м³×USD/м³; т×USD/т) + комиссия агента + pickup charge</t>
        </is>
      </c>
      <c r="J48" t="inlineStr">
        <is>
          <t>Huizhou</t>
        </is>
      </c>
      <c r="K48" t="inlineStr">
        <is>
          <t>惠州</t>
        </is>
      </c>
      <c r="M48" t="inlineStr">
        <is>
          <t>Huizhou</t>
        </is>
      </c>
      <c r="N48" t="n">
        <v>450</v>
      </c>
      <c r="O48" t="n">
        <v>120</v>
      </c>
      <c r="Q48" t="n">
        <v>200</v>
      </c>
      <c r="T48" s="15" t="n"/>
      <c r="U48" s="15" t="n"/>
    </row>
    <row r="49" ht="15" customHeight="1">
      <c r="A49" t="inlineStr">
        <is>
          <t>Shantou</t>
        </is>
      </c>
      <c r="B49" s="13" t="inlineStr">
        <is>
          <t>Suzhou Jiangsu / 江苏苏州</t>
        </is>
      </c>
      <c r="C49" s="19">
        <f>O49/курс</f>
        <v/>
      </c>
      <c r="D49" s="19">
        <f>N49/курс</f>
        <v/>
      </c>
      <c r="E49" s="19">
        <f>Controls!$B$17/курс</f>
        <v/>
      </c>
      <c r="F49" s="20">
        <f>Controls!$B$18/курс</f>
        <v/>
      </c>
      <c r="G49" s="20">
        <f>Controls!$B$19/курс</f>
        <v/>
      </c>
      <c r="H49" t="inlineStr">
        <is>
          <t>Да</t>
        </is>
      </c>
      <c r="I49" t="inlineStr">
        <is>
          <t>Авто = MAX(м³×USD/м³; т×USD/т) + комиссия агента + pickup charge</t>
        </is>
      </c>
      <c r="J49" t="inlineStr">
        <is>
          <t>Shantou</t>
        </is>
      </c>
      <c r="K49" t="inlineStr"/>
      <c r="M49" t="inlineStr">
        <is>
          <t>Shantou</t>
        </is>
      </c>
      <c r="N49" t="n">
        <v>450</v>
      </c>
      <c r="O49" t="n">
        <v>120</v>
      </c>
      <c r="Q49" t="n">
        <v>200</v>
      </c>
      <c r="T49" s="15" t="n"/>
      <c r="U49" s="15" t="n"/>
    </row>
    <row r="50" ht="15" customHeight="1">
      <c r="A50" t="inlineStr">
        <is>
          <t>Chengdu / 成都</t>
        </is>
      </c>
      <c r="B50" s="13" t="inlineStr">
        <is>
          <t>Suzhou Jiangsu / 江苏苏州</t>
        </is>
      </c>
      <c r="C50" s="19">
        <f>O50/курс</f>
        <v/>
      </c>
      <c r="D50" s="19">
        <f>N50/курс</f>
        <v/>
      </c>
      <c r="E50" s="19">
        <f>Controls!$B$17/курс</f>
        <v/>
      </c>
      <c r="F50" s="20">
        <f>Controls!$B$18/курс</f>
        <v/>
      </c>
      <c r="G50" s="20">
        <f>Controls!$B$19/курс</f>
        <v/>
      </c>
      <c r="H50" t="inlineStr">
        <is>
          <t>Да</t>
        </is>
      </c>
      <c r="I50" t="inlineStr">
        <is>
          <t>Авто = MAX(м³×USD/м³; т×USD/т) + комиссия агента + pickup charge</t>
        </is>
      </c>
      <c r="J50" t="inlineStr">
        <is>
          <t>Chengdu</t>
        </is>
      </c>
      <c r="K50" t="inlineStr">
        <is>
          <t>成都</t>
        </is>
      </c>
      <c r="M50" t="inlineStr">
        <is>
          <t>Chengdu</t>
        </is>
      </c>
      <c r="N50" t="n">
        <v>550</v>
      </c>
      <c r="O50" t="n">
        <v>150</v>
      </c>
      <c r="Q50" t="n">
        <v>200</v>
      </c>
      <c r="T50" s="15" t="n"/>
      <c r="U50" s="15" t="n"/>
    </row>
    <row r="51" ht="15" customHeight="1">
      <c r="A51" t="inlineStr">
        <is>
          <t>Xi'an</t>
        </is>
      </c>
      <c r="B51" s="13" t="inlineStr">
        <is>
          <t>Suzhou Jiangsu / 江苏苏州</t>
        </is>
      </c>
      <c r="C51" s="19">
        <f>O51/курс</f>
        <v/>
      </c>
      <c r="D51" s="19">
        <f>N51/курс</f>
        <v/>
      </c>
      <c r="E51" s="19">
        <f>Controls!$B$17/курс</f>
        <v/>
      </c>
      <c r="F51" s="20">
        <f>Controls!$B$18/курс</f>
        <v/>
      </c>
      <c r="G51" s="20">
        <f>Controls!$B$19/курс</f>
        <v/>
      </c>
      <c r="H51" t="inlineStr">
        <is>
          <t>Да</t>
        </is>
      </c>
      <c r="I51" t="inlineStr">
        <is>
          <t>Авто = MAX(м³×USD/м³; т×USD/т) + комиссия агента + pickup charge</t>
        </is>
      </c>
      <c r="J51" t="inlineStr">
        <is>
          <t>Xi'an</t>
        </is>
      </c>
      <c r="K51" t="inlineStr"/>
      <c r="M51" t="inlineStr">
        <is>
          <t>Xi'an</t>
        </is>
      </c>
      <c r="N51" t="n">
        <v>450</v>
      </c>
      <c r="O51" t="n">
        <v>120</v>
      </c>
      <c r="Q51" t="n">
        <v>200</v>
      </c>
      <c r="T51" s="15" t="n"/>
      <c r="U51" s="15" t="n"/>
    </row>
    <row r="52" ht="15" customHeight="1">
      <c r="A52" t="inlineStr">
        <is>
          <t>Zhengzhou / 郑州</t>
        </is>
      </c>
      <c r="B52" s="13" t="inlineStr">
        <is>
          <t>Suzhou Jiangsu / 江苏苏州</t>
        </is>
      </c>
      <c r="C52" s="19">
        <f>O52/курс</f>
        <v/>
      </c>
      <c r="D52" s="19">
        <f>N52/курс</f>
        <v/>
      </c>
      <c r="E52" s="19">
        <f>Controls!$B$17/курс</f>
        <v/>
      </c>
      <c r="F52" s="20">
        <f>Controls!$B$18/курс</f>
        <v/>
      </c>
      <c r="G52" s="20">
        <f>Controls!$B$19/курс</f>
        <v/>
      </c>
      <c r="H52" t="inlineStr">
        <is>
          <t>Да</t>
        </is>
      </c>
      <c r="I52" t="inlineStr">
        <is>
          <t>Авто = MAX(м³×USD/м³; т×USD/т) + комиссия агента + pickup charge</t>
        </is>
      </c>
      <c r="J52" t="inlineStr">
        <is>
          <t>Zhengzhou</t>
        </is>
      </c>
      <c r="K52" t="inlineStr">
        <is>
          <t>郑州</t>
        </is>
      </c>
      <c r="M52" t="inlineStr">
        <is>
          <t>Zhengzhou</t>
        </is>
      </c>
      <c r="N52" t="n">
        <v>350</v>
      </c>
      <c r="O52" t="n">
        <v>90</v>
      </c>
      <c r="Q52" t="n">
        <v>200</v>
      </c>
      <c r="T52" s="15" t="n"/>
      <c r="U52" s="15" t="n"/>
    </row>
    <row r="53" ht="15" customHeight="1">
      <c r="A53" t="inlineStr">
        <is>
          <t>Wuhan / 武汉</t>
        </is>
      </c>
      <c r="B53" s="13" t="inlineStr">
        <is>
          <t>Suzhou Jiangsu / 江苏苏州</t>
        </is>
      </c>
      <c r="C53" s="19">
        <f>O53/курс</f>
        <v/>
      </c>
      <c r="D53" s="19">
        <f>N53/курс</f>
        <v/>
      </c>
      <c r="E53" s="19">
        <f>Controls!$B$17/курс</f>
        <v/>
      </c>
      <c r="F53" s="20">
        <f>Controls!$B$18/курс</f>
        <v/>
      </c>
      <c r="G53" s="20">
        <f>Controls!$B$19/курс</f>
        <v/>
      </c>
      <c r="H53" t="inlineStr">
        <is>
          <t>Да</t>
        </is>
      </c>
      <c r="I53" t="inlineStr">
        <is>
          <t>Авто = MAX(м³×USD/м³; т×USD/т) + комиссия агента + pickup charge</t>
        </is>
      </c>
      <c r="J53" t="inlineStr">
        <is>
          <t>Wuhan</t>
        </is>
      </c>
      <c r="K53" t="inlineStr">
        <is>
          <t>武汉</t>
        </is>
      </c>
      <c r="M53" t="inlineStr">
        <is>
          <t>Wuhan</t>
        </is>
      </c>
      <c r="N53" t="n">
        <v>300</v>
      </c>
      <c r="O53" t="n">
        <v>80</v>
      </c>
      <c r="Q53" t="n">
        <v>200</v>
      </c>
      <c r="T53" s="15" t="n"/>
      <c r="U53" s="15" t="n"/>
    </row>
    <row r="54" ht="15" customHeight="1">
      <c r="A54" t="inlineStr">
        <is>
          <t>Hefei / 合肥</t>
        </is>
      </c>
      <c r="B54" s="13" t="inlineStr">
        <is>
          <t>Suzhou Jiangsu / 江苏苏州</t>
        </is>
      </c>
      <c r="C54" s="19">
        <f>O54/курс</f>
        <v/>
      </c>
      <c r="D54" s="19">
        <f>N54/курс</f>
        <v/>
      </c>
      <c r="E54" s="19">
        <f>Controls!$B$17/курс</f>
        <v/>
      </c>
      <c r="F54" s="20">
        <f>Controls!$B$18/курс</f>
        <v/>
      </c>
      <c r="G54" s="20">
        <f>Controls!$B$19/курс</f>
        <v/>
      </c>
      <c r="H54" t="inlineStr">
        <is>
          <t>Да</t>
        </is>
      </c>
      <c r="I54" t="inlineStr">
        <is>
          <t>Авто = MAX(м³×USD/м³; т×USD/т) + комиссия агента + pickup charge</t>
        </is>
      </c>
      <c r="J54" t="inlineStr">
        <is>
          <t>Hefei</t>
        </is>
      </c>
      <c r="K54" t="inlineStr">
        <is>
          <t>合肥</t>
        </is>
      </c>
      <c r="M54" t="inlineStr">
        <is>
          <t>Hefei</t>
        </is>
      </c>
      <c r="N54" t="n">
        <v>250</v>
      </c>
      <c r="O54" t="n">
        <v>75</v>
      </c>
      <c r="Q54" t="n">
        <v>200</v>
      </c>
      <c r="T54" s="15" t="n"/>
      <c r="U54" s="15" t="n"/>
    </row>
    <row r="55" ht="15" customHeight="1">
      <c r="A55" t="inlineStr">
        <is>
          <t>Wuhu</t>
        </is>
      </c>
      <c r="B55" s="13" t="inlineStr">
        <is>
          <t>Suzhou Jiangsu / 江苏苏州</t>
        </is>
      </c>
      <c r="C55" s="19">
        <f>O55/курс</f>
        <v/>
      </c>
      <c r="D55" s="19">
        <f>N55/курс</f>
        <v/>
      </c>
      <c r="E55" s="19">
        <f>Controls!$B$17/курс</f>
        <v/>
      </c>
      <c r="F55" s="20">
        <f>Controls!$B$18/курс</f>
        <v/>
      </c>
      <c r="G55" s="20">
        <f>Controls!$B$19/курс</f>
        <v/>
      </c>
      <c r="H55" t="inlineStr">
        <is>
          <t>Да</t>
        </is>
      </c>
      <c r="I55" t="inlineStr">
        <is>
          <t>Авто = MAX(м³×USD/м³; т×USD/т) + комиссия агента + pickup charge</t>
        </is>
      </c>
      <c r="J55" t="inlineStr">
        <is>
          <t>Wuhu</t>
        </is>
      </c>
      <c r="K55" t="inlineStr"/>
      <c r="M55" t="inlineStr">
        <is>
          <t>Wuhu</t>
        </is>
      </c>
      <c r="N55" t="n">
        <v>220</v>
      </c>
      <c r="O55" t="n">
        <v>70</v>
      </c>
      <c r="Q55" t="n">
        <v>200</v>
      </c>
      <c r="T55" s="15" t="n"/>
      <c r="U55" s="15" t="n"/>
    </row>
    <row r="56" ht="15" customHeight="1">
      <c r="A56" t="inlineStr">
        <is>
          <t>Nanchang / 南昌</t>
        </is>
      </c>
      <c r="B56" s="13" t="inlineStr">
        <is>
          <t>Suzhou Jiangsu / 江苏苏州</t>
        </is>
      </c>
      <c r="C56" s="19">
        <f>O56/курс</f>
        <v/>
      </c>
      <c r="D56" s="19">
        <f>N56/курс</f>
        <v/>
      </c>
      <c r="E56" s="19">
        <f>Controls!$B$17/курс</f>
        <v/>
      </c>
      <c r="F56" s="20">
        <f>Controls!$B$18/курс</f>
        <v/>
      </c>
      <c r="G56" s="20">
        <f>Controls!$B$19/курс</f>
        <v/>
      </c>
      <c r="H56" t="inlineStr">
        <is>
          <t>Да</t>
        </is>
      </c>
      <c r="I56" t="inlineStr">
        <is>
          <t>Авто = MAX(м³×USD/м³; т×USD/т) + комиссия агента + pickup charge</t>
        </is>
      </c>
      <c r="J56" t="inlineStr">
        <is>
          <t>Nanchang</t>
        </is>
      </c>
      <c r="K56" t="inlineStr">
        <is>
          <t>南昌</t>
        </is>
      </c>
      <c r="M56" t="inlineStr">
        <is>
          <t>Nanchang</t>
        </is>
      </c>
      <c r="N56" t="n">
        <v>300</v>
      </c>
      <c r="O56" t="n">
        <v>80</v>
      </c>
      <c r="Q56" t="n">
        <v>200</v>
      </c>
      <c r="T56" s="15" t="n"/>
      <c r="U56" s="15" t="n"/>
    </row>
    <row r="57" ht="15" customHeight="1">
      <c r="A57" t="inlineStr">
        <is>
          <t>Ganzhou</t>
        </is>
      </c>
      <c r="B57" s="13" t="inlineStr">
        <is>
          <t>Suzhou Jiangsu / 江苏苏州</t>
        </is>
      </c>
      <c r="C57" s="19">
        <f>O57/курс</f>
        <v/>
      </c>
      <c r="D57" s="19">
        <f>N57/курс</f>
        <v/>
      </c>
      <c r="E57" s="19">
        <f>Controls!$B$17/курс</f>
        <v/>
      </c>
      <c r="F57" s="20">
        <f>Controls!$B$18/курс</f>
        <v/>
      </c>
      <c r="G57" s="20">
        <f>Controls!$B$19/курс</f>
        <v/>
      </c>
      <c r="H57" t="inlineStr">
        <is>
          <t>Да</t>
        </is>
      </c>
      <c r="I57" t="inlineStr">
        <is>
          <t>Авто = MAX(м³×USD/м³; т×USD/т) + комиссия агента + pickup charge</t>
        </is>
      </c>
      <c r="J57" t="inlineStr">
        <is>
          <t>Ganzhou</t>
        </is>
      </c>
      <c r="K57" t="inlineStr"/>
      <c r="M57" t="inlineStr">
        <is>
          <t>Ganzhou</t>
        </is>
      </c>
      <c r="N57" t="n">
        <v>450</v>
      </c>
      <c r="O57" t="n">
        <v>120</v>
      </c>
      <c r="Q57" t="n">
        <v>200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 codeName="Лист4">
    <outlinePr summaryBelow="1" summaryRight="1"/>
    <pageSetUpPr/>
  </sheetPr>
  <dimension ref="A1:L8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 customHeight="1"/>
  <cols>
    <col width="28" customWidth="1" min="1" max="1"/>
    <col width="15" customWidth="1" min="2" max="2"/>
    <col width="14" customWidth="1" min="3" max="3"/>
    <col width="12" customWidth="1" min="4" max="4"/>
    <col width="10" customWidth="1" min="5" max="5"/>
    <col width="18" customWidth="1" min="6" max="6"/>
    <col width="14" customWidth="1" min="7" max="7"/>
    <col width="10" customWidth="1" min="8" max="9"/>
    <col width="14" customWidth="1" min="10" max="10"/>
    <col width="20" customWidth="1" min="11" max="11"/>
    <col width="28" customWidth="1" min="12" max="12"/>
  </cols>
  <sheetData>
    <row r="1" ht="30" customHeight="1">
      <c r="A1" s="1" t="inlineStr">
        <is>
          <t>Тестовые примеры для проверки менеджером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2" t="inlineStr">
        <is>
          <t>Сценарий</t>
        </is>
      </c>
      <c r="B2" s="12" t="inlineStr">
        <is>
          <t>Город</t>
        </is>
      </c>
      <c r="C2" s="12" t="inlineStr">
        <is>
          <t>Объем факт, м³</t>
        </is>
      </c>
      <c r="D2" s="12" t="inlineStr">
        <is>
          <t>Вес, кг</t>
        </is>
      </c>
      <c r="E2" s="12" t="inlineStr">
        <is>
          <t>Штаб.?</t>
        </is>
      </c>
      <c r="F2" s="12" t="inlineStr">
        <is>
          <t>Объем к оплате, м³</t>
        </is>
      </c>
      <c r="G2" s="12" t="inlineStr">
        <is>
          <t>Вес места, кг</t>
        </is>
      </c>
      <c r="H2" s="12" t="inlineStr">
        <is>
          <t>Длина, м</t>
        </is>
      </c>
      <c r="I2" s="12" t="inlineStr">
        <is>
          <t>Авто?</t>
        </is>
      </c>
      <c r="J2" s="12" t="inlineStr">
        <is>
          <t>Город авто</t>
        </is>
      </c>
      <c r="K2" s="12" t="inlineStr">
        <is>
          <t>Ожидаемый итог, USD</t>
        </is>
      </c>
      <c r="L2" s="12" t="inlineStr">
        <is>
          <t>Комментарий</t>
        </is>
      </c>
    </row>
    <row r="3">
      <c r="A3" s="13" t="inlineStr">
        <is>
          <t>Штабел., без авто, 0.8 м³</t>
        </is>
      </c>
      <c r="B3" s="13" t="inlineStr">
        <is>
          <t>Shanghai</t>
        </is>
      </c>
      <c r="C3" s="13" t="n">
        <v>0.8</v>
      </c>
      <c r="D3" s="13" t="n">
        <v>400</v>
      </c>
      <c r="E3" s="13" t="inlineStr">
        <is>
          <t>Да</t>
        </is>
      </c>
      <c r="F3" s="13" t="n">
        <v>0.8</v>
      </c>
      <c r="G3" s="13" t="n">
        <v>400</v>
      </c>
      <c r="H3" s="13" t="n">
        <v>1.2</v>
      </c>
      <c r="I3" s="13" t="inlineStr">
        <is>
          <t>Нет</t>
        </is>
      </c>
      <c r="J3" s="13" t="n"/>
      <c r="K3" s="13">
        <f>Controls!$B$9+Controls!$B$8</f>
        <v/>
      </c>
      <c r="L3" s="13" t="inlineStr">
        <is>
          <t>145 + 150</t>
        </is>
      </c>
    </row>
    <row r="4">
      <c r="A4" s="13" t="inlineStr">
        <is>
          <t>Не штабел., 2 м³ факт / 3 м³ к оплате</t>
        </is>
      </c>
      <c r="B4" s="13" t="inlineStr">
        <is>
          <t>Shanghai</t>
        </is>
      </c>
      <c r="C4" s="13" t="n">
        <v>2</v>
      </c>
      <c r="D4" s="13" t="n">
        <v>800</v>
      </c>
      <c r="E4" s="13" t="inlineStr">
        <is>
          <t>Нет</t>
        </is>
      </c>
      <c r="F4" s="13" t="n">
        <v>3</v>
      </c>
      <c r="G4" s="13" t="n">
        <v>800</v>
      </c>
      <c r="H4" s="13" t="n">
        <v>1.5</v>
      </c>
      <c r="I4" s="13" t="inlineStr">
        <is>
          <t>Нет</t>
        </is>
      </c>
      <c r="J4" s="13" t="n"/>
      <c r="K4" s="13">
        <f>3*Controls!$B$10+Controls!$B$8</f>
        <v/>
      </c>
      <c r="L4" s="13" t="inlineStr">
        <is>
          <t>145×3 + 150</t>
        </is>
      </c>
    </row>
    <row r="5">
      <c r="A5" s="13" t="inlineStr">
        <is>
          <t>С авто: берем больше из м³/т</t>
        </is>
      </c>
      <c r="B5" s="13" t="inlineStr">
        <is>
          <t>Shanghai</t>
        </is>
      </c>
      <c r="C5" s="13" t="n">
        <v>3</v>
      </c>
      <c r="D5" s="13" t="n">
        <v>2200</v>
      </c>
      <c r="E5" s="13" t="inlineStr">
        <is>
          <t>Да</t>
        </is>
      </c>
      <c r="F5" s="13" t="n">
        <v>3</v>
      </c>
      <c r="G5" s="13" t="n">
        <v>1200</v>
      </c>
      <c r="H5" s="13" t="n">
        <v>2</v>
      </c>
      <c r="I5" s="13" t="inlineStr">
        <is>
          <t>Да</t>
        </is>
      </c>
      <c r="J5" s="13" t="inlineStr">
        <is>
          <t>Shanghai</t>
        </is>
      </c>
      <c r="K5" s="13">
        <f>3*Controls!$B$10+Controls!$B$8+MAX(3*VLOOKUP("Shanghai",Auto_Delivery_CN!$A$3:$I$200,3,FALSE()),(2200/1000)*VLOOKUP("Shanghai",Auto_Delivery_CN!$A$3:$I$200,4,FALSE()))+VLOOKUP("Shanghai",Auto_Delivery_CN!$A$3:$I$200,5,FALSE())+VLOOKUP("Shanghai",Auto_Delivery_CN!$A$3:$I$200,6,FALSE())</f>
        <v/>
      </c>
      <c r="L5" s="13" t="inlineStr">
        <is>
          <t>база авто + 200 CNY + 250 CNY (партия &lt;15м³ и &lt;4т)</t>
        </is>
      </c>
    </row>
    <row r="6">
      <c r="A6" s="13" t="inlineStr">
        <is>
          <t>Перевес одного места</t>
        </is>
      </c>
      <c r="B6" s="13" t="inlineStr">
        <is>
          <t>Ningbo</t>
        </is>
      </c>
      <c r="C6" s="13" t="n">
        <v>7</v>
      </c>
      <c r="D6" s="13" t="n">
        <v>2500</v>
      </c>
      <c r="E6" s="13" t="inlineStr">
        <is>
          <t>Да</t>
        </is>
      </c>
      <c r="F6" s="13" t="n">
        <v>7</v>
      </c>
      <c r="G6" s="13" t="n">
        <v>3500</v>
      </c>
      <c r="H6" s="13" t="n">
        <v>2.5</v>
      </c>
      <c r="I6" s="13" t="inlineStr">
        <is>
          <t>Да</t>
        </is>
      </c>
      <c r="J6" s="13" t="inlineStr">
        <is>
          <t>Ningbo</t>
        </is>
      </c>
      <c r="K6" s="13">
        <f>7*Controls!$B$11+Controls!$B$8+MAX(7*VLOOKUP("Ningbo",Auto_Delivery_CN!$A$3:$I$200,3,FALSE()),(2500/1000)*VLOOKUP("Ningbo",Auto_Delivery_CN!$A$3:$I$200,4,FALSE()))+VLOOKUP("Ningbo",Auto_Delivery_CN!$A$3:$I$200,5,FALSE())+VLOOKUP("Ningbo",Auto_Delivery_CN!$A$3:$I$200,6,FALSE())</f>
        <v/>
      </c>
      <c r="L6" s="13" t="inlineStr">
        <is>
          <t>должен дать статус согласования</t>
        </is>
      </c>
    </row>
    <row r="7">
      <c r="A7" s="13" t="inlineStr">
        <is>
          <t>Длина &gt; 6 м</t>
        </is>
      </c>
      <c r="B7" s="13" t="inlineStr">
        <is>
          <t>Wuxi</t>
        </is>
      </c>
      <c r="C7" s="13" t="n">
        <v>12</v>
      </c>
      <c r="D7" s="13" t="n">
        <v>5000</v>
      </c>
      <c r="E7" s="13" t="inlineStr">
        <is>
          <t>Да</t>
        </is>
      </c>
      <c r="F7" s="13" t="n">
        <v>12</v>
      </c>
      <c r="G7" s="13" t="n">
        <v>2500</v>
      </c>
      <c r="H7" s="13" t="n">
        <v>6.5</v>
      </c>
      <c r="I7" s="13" t="inlineStr">
        <is>
          <t>Нет</t>
        </is>
      </c>
      <c r="J7" s="13" t="n"/>
      <c r="K7" s="13">
        <f>12*Controls!$B$12+Controls!$B$8</f>
        <v/>
      </c>
      <c r="L7" s="13" t="inlineStr">
        <is>
          <t>должен дать статус согласования</t>
        </is>
      </c>
    </row>
    <row r="8">
      <c r="A8" t="inlineStr">
        <is>
          <t>С авто: pickup 350 CNY</t>
        </is>
      </c>
      <c r="B8" t="inlineStr">
        <is>
          <t>Shanghai</t>
        </is>
      </c>
      <c r="C8" t="n">
        <v>16</v>
      </c>
      <c r="D8" t="n">
        <v>4200</v>
      </c>
      <c r="E8" t="inlineStr">
        <is>
          <t>Да</t>
        </is>
      </c>
      <c r="F8" t="n">
        <v>16</v>
      </c>
      <c r="G8" t="n">
        <v>2000</v>
      </c>
      <c r="H8" t="n">
        <v>2</v>
      </c>
      <c r="I8" t="inlineStr">
        <is>
          <t>Да</t>
        </is>
      </c>
      <c r="J8" t="inlineStr">
        <is>
          <t>Shanghai</t>
        </is>
      </c>
      <c r="K8">
        <f>16*Controls!$B$12+Controls!$B$8+MAX(16*VLOOKUP("Shanghai",Auto_Delivery_CN!$A$3:$I$200,3,FALSE()),(4200/1000)*VLOOKUP("Shanghai",Auto_Delivery_CN!$A$3:$I$200,4,FALSE()))+VLOOKUP("Shanghai",Auto_Delivery_CN!$A$3:$I$200,5,FALSE())+VLOOKUP("Shanghai",Auto_Delivery_CN!$A$3:$I$200,7,FALSE())</f>
        <v/>
      </c>
      <c r="L8" t="inlineStr">
        <is>
          <t>база авто + 200 CNY + 350 CNY (≥15м³ или ≥4т)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 codeName="Лист5">
    <outlinePr summaryBelow="1" summaryRight="1"/>
    <pageSetUpPr/>
  </sheetPr>
  <dimension ref="A1:B16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24" customWidth="1" min="1" max="1"/>
    <col width="90" customWidth="1" min="2" max="2"/>
  </cols>
  <sheetData>
    <row r="1">
      <c r="A1" s="1" t="inlineStr">
        <is>
          <t>Как использовать файл / 使用说明</t>
        </is>
      </c>
      <c r="B1" s="1" t="n"/>
    </row>
    <row r="2">
      <c r="A2" s="13" t="inlineStr">
        <is>
          <t>1. Quote_Calculator</t>
        </is>
      </c>
      <c r="B2" s="13" t="inlineStr">
        <is>
          <t>Вводите фактический объем, вес, штабелируемость, вес одного места, длину места и необходимость авто.</t>
        </is>
      </c>
    </row>
    <row r="3">
      <c r="A3" s="13" t="inlineStr">
        <is>
          <t>2. Штабелируемость</t>
        </is>
      </c>
      <c r="B3" s="13" t="inlineStr">
        <is>
          <t>Если груз не штабелируется, расчет идет по объему к оплате, который включает пустое пространство над грузом.</t>
        </is>
      </c>
    </row>
    <row r="4">
      <c r="A4" s="13" t="inlineStr">
        <is>
          <t>3. Ограничения</t>
        </is>
      </c>
      <c r="B4" s="13" t="inlineStr">
        <is>
          <t>Если вес одного места &gt; 3 т или длина &gt; 6 м, маршрут помечается как "Требует согласования".</t>
        </is>
      </c>
    </row>
    <row r="5">
      <c r="A5" s="13" t="inlineStr">
        <is>
          <t>4. Автодоставка</t>
        </is>
      </c>
      <c r="B5" s="13" t="inlineStr">
        <is>
          <t>На листе Auto_Delivery_CN ставка задается отдельно в USD/м³ и USD/т; в расчете берется большее из двух значений.</t>
        </is>
      </c>
    </row>
    <row r="6">
      <c r="A6" s="13" t="inlineStr">
        <is>
          <t>5. Контейнерный ориентир</t>
        </is>
      </c>
      <c r="B6" s="13" t="inlineStr">
        <is>
          <t>Рассчитывается как 7800 USD / вместимость контейнера. По умолчанию: 7800 / 68 = 114.71 USD/м³.</t>
        </is>
      </c>
    </row>
    <row r="7">
      <c r="A7" s="13" t="inlineStr">
        <is>
          <t>6. Город авто</t>
        </is>
      </c>
      <c r="B7" s="13" t="inlineStr">
        <is>
          <t>На Quote_Calculator можно выбрать город автодоставки из списка Auto_Delivery_CN, ставка пересчитается автоматически.</t>
        </is>
      </c>
    </row>
    <row r="9">
      <c r="A9" t="inlineStr">
        <is>
          <t>Обновление логики автодоставки</t>
        </is>
      </c>
    </row>
    <row r="10">
      <c r="A10" t="inlineStr">
        <is>
          <t>К авто на каждую партию добавляется комиссия агента 200 CNY.</t>
        </is>
      </c>
    </row>
    <row r="11">
      <c r="A11" t="inlineStr">
        <is>
          <t>Pickup charge: 250 CNY за партию при объеме &lt; 15 м³ и весе &lt; 4 т; 350 CNY за партию при объеме ≥ 15 м³ или весе ≥ 4 т.</t>
        </is>
      </c>
    </row>
    <row r="12">
      <c r="A12" t="inlineStr">
        <is>
          <t>Итог авто = MAX(объем×ставка USD/м³; вес_т×ставка USD/т) + комиссия агента + pickup charge.</t>
        </is>
      </c>
    </row>
    <row r="13">
      <c r="A13" t="inlineStr">
        <is>
          <t>Исправление: расчетный объем теперь = MAX(вес/500; факт. объем для штабелируемого; объем к оплате для не штабелируемого).</t>
        </is>
      </c>
    </row>
    <row r="14">
      <c r="A14" t="inlineStr">
        <is>
          <t>7. Китайские названия / 中文</t>
        </is>
      </c>
      <c r="B14" t="inlineStr">
        <is>
          <t>Города в авто-доставке показаны в формате English / 中文, например Shanghai / 上海.</t>
        </is>
      </c>
    </row>
    <row r="15">
      <c r="A15" t="inlineStr">
        <is>
          <t>8. Заказ из Telegram / Telegram 下单</t>
        </is>
      </c>
      <c r="B15" t="inlineStr">
        <is>
          <t>После расчета бот показывает кнопку «Заказать». Затем клиент вводит имя и e-mail, и расчет отправляется на sales@gfeng.ru.</t>
        </is>
      </c>
    </row>
    <row r="16">
      <c r="A16" t="inlineStr">
        <is>
          <t>9. Работа 24/7 / 24小时运行</t>
        </is>
      </c>
      <c r="B16" t="inlineStr">
        <is>
          <t>Для круглосуточной работы используйте Railway/Render/PythonAnywhere и переменные окружения из README в пакете.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2026-03-27T11:34:38Z</dcterms:created>
  <dcterms:modified xmlns:dcterms="http://purl.org/dc/terms/" xmlns:xsi="http://www.w3.org/2001/XMLSchema-instance" xsi:type="dcterms:W3CDTF">2026-03-27T16:15:10Z</dcterms:modified>
  <cp:lastModifiedBy>Anton Fialko</cp:lastModifiedBy>
</cp:coreProperties>
</file>