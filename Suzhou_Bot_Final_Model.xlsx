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antonfialko/Downloads/suzhou_final_bot_package/"/>
    </mc:Choice>
  </mc:AlternateContent>
  <xr:revisionPtr revIDLastSave="0" documentId="13_ncr:1_{5A4600FD-DDF2-074B-9CF2-792E50192636}" xr6:coauthVersionLast="47" xr6:coauthVersionMax="47" xr10:uidLastSave="{00000000-0000-0000-0000-000000000000}"/>
  <bookViews>
    <workbookView xWindow="0" yWindow="620" windowWidth="28020" windowHeight="17380" activeTab="2" xr2:uid="{00000000-000D-0000-FFFF-FFFF00000000}"/>
  </bookViews>
  <sheets>
    <sheet name="Quote_Calculator" sheetId="1" r:id="rId1"/>
    <sheet name="Controls" sheetId="2" r:id="rId2"/>
    <sheet name="Auto_Delivery_CN" sheetId="3" r:id="rId3"/>
    <sheet name="Test_Examples" sheetId="4" r:id="rId4"/>
    <sheet name="README" sheetId="5" r:id="rId5"/>
  </sheets>
  <definedNames>
    <definedName name="курс">Auto_Delivery_CN!$K$1</definedName>
    <definedName name="AutoCityList">Auto_Delivery_CN!$A$3:$A$57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4" l="1"/>
  <c r="K7" i="4"/>
  <c r="K6" i="4"/>
  <c r="K5" i="4"/>
  <c r="K4" i="4"/>
  <c r="K3" i="4"/>
  <c r="G57" i="3"/>
  <c r="F57" i="3"/>
  <c r="E57" i="3"/>
  <c r="D57" i="3"/>
  <c r="C57" i="3"/>
  <c r="G56" i="3"/>
  <c r="F56" i="3"/>
  <c r="E56" i="3"/>
  <c r="D56" i="3"/>
  <c r="C56" i="3"/>
  <c r="G55" i="3"/>
  <c r="F55" i="3"/>
  <c r="E55" i="3"/>
  <c r="D55" i="3"/>
  <c r="C55" i="3"/>
  <c r="G54" i="3"/>
  <c r="F54" i="3"/>
  <c r="E54" i="3"/>
  <c r="D54" i="3"/>
  <c r="C54" i="3"/>
  <c r="G53" i="3"/>
  <c r="F53" i="3"/>
  <c r="E53" i="3"/>
  <c r="D53" i="3"/>
  <c r="C53" i="3"/>
  <c r="G52" i="3"/>
  <c r="F52" i="3"/>
  <c r="E52" i="3"/>
  <c r="D52" i="3"/>
  <c r="C52" i="3"/>
  <c r="G51" i="3"/>
  <c r="F51" i="3"/>
  <c r="E51" i="3"/>
  <c r="D51" i="3"/>
  <c r="C51" i="3"/>
  <c r="G50" i="3"/>
  <c r="F50" i="3"/>
  <c r="E50" i="3"/>
  <c r="D50" i="3"/>
  <c r="C50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G46" i="3"/>
  <c r="F46" i="3"/>
  <c r="E46" i="3"/>
  <c r="D46" i="3"/>
  <c r="C46" i="3"/>
  <c r="G45" i="3"/>
  <c r="F45" i="3"/>
  <c r="E45" i="3"/>
  <c r="D45" i="3"/>
  <c r="C45" i="3"/>
  <c r="G44" i="3"/>
  <c r="F44" i="3"/>
  <c r="E44" i="3"/>
  <c r="D44" i="3"/>
  <c r="C44" i="3"/>
  <c r="G43" i="3"/>
  <c r="F43" i="3"/>
  <c r="E43" i="3"/>
  <c r="D43" i="3"/>
  <c r="C43" i="3"/>
  <c r="G42" i="3"/>
  <c r="F42" i="3"/>
  <c r="E42" i="3"/>
  <c r="D42" i="3"/>
  <c r="C42" i="3"/>
  <c r="G41" i="3"/>
  <c r="F41" i="3"/>
  <c r="E41" i="3"/>
  <c r="D41" i="3"/>
  <c r="C41" i="3"/>
  <c r="G40" i="3"/>
  <c r="F40" i="3"/>
  <c r="E40" i="3"/>
  <c r="D40" i="3"/>
  <c r="C40" i="3"/>
  <c r="G39" i="3"/>
  <c r="F39" i="3"/>
  <c r="E39" i="3"/>
  <c r="D39" i="3"/>
  <c r="C39" i="3"/>
  <c r="G38" i="3"/>
  <c r="F38" i="3"/>
  <c r="E38" i="3"/>
  <c r="D38" i="3"/>
  <c r="C38" i="3"/>
  <c r="G37" i="3"/>
  <c r="F37" i="3"/>
  <c r="E37" i="3"/>
  <c r="D37" i="3"/>
  <c r="C37" i="3"/>
  <c r="G36" i="3"/>
  <c r="F36" i="3"/>
  <c r="E36" i="3"/>
  <c r="D36" i="3"/>
  <c r="C36" i="3"/>
  <c r="G35" i="3"/>
  <c r="F35" i="3"/>
  <c r="E35" i="3"/>
  <c r="D35" i="3"/>
  <c r="C35" i="3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3" i="3"/>
  <c r="F3" i="3"/>
  <c r="E3" i="3"/>
  <c r="D3" i="3"/>
  <c r="C3" i="3"/>
  <c r="B5" i="2"/>
  <c r="E17" i="1" s="1"/>
  <c r="E21" i="1"/>
  <c r="E12" i="1"/>
  <c r="E10" i="1"/>
  <c r="E8" i="1"/>
  <c r="E4" i="1"/>
  <c r="E3" i="1"/>
  <c r="E18" i="1" l="1"/>
  <c r="E5" i="1"/>
  <c r="E13" i="1"/>
  <c r="E6" i="1"/>
  <c r="E7" i="1" s="1"/>
  <c r="E9" i="1"/>
  <c r="E11" i="1" s="1"/>
  <c r="E14" i="1" s="1"/>
  <c r="E15" i="1" l="1"/>
  <c r="E20" i="1"/>
  <c r="E22" i="1" l="1"/>
  <c r="E19" i="1"/>
  <c r="E16" i="1"/>
</calcChain>
</file>

<file path=xl/sharedStrings.xml><?xml version="1.0" encoding="utf-8"?>
<sst xmlns="http://schemas.openxmlformats.org/spreadsheetml/2006/main" count="551" uniqueCount="281">
  <si>
    <t>Калькулятор маршрута / 路线报价: Город X → Suzhou Jiangsu / 江苏苏州 → Москва / 莫斯科</t>
  </si>
  <si>
    <t>Входные данные</t>
  </si>
  <si>
    <t>Итог для клиента</t>
  </si>
  <si>
    <t>Город отправления / 起运城市</t>
  </si>
  <si>
    <t>Shanghai / 上海</t>
  </si>
  <si>
    <t>Маршрут / 路线</t>
  </si>
  <si>
    <t>Назначение / 目的地</t>
  </si>
  <si>
    <t>Москва / 莫斯科</t>
  </si>
  <si>
    <t>Расчетный объем к тарифу, м³ / 计费体积</t>
  </si>
  <si>
    <t>Фактический объем, м³ / 实际体积</t>
  </si>
  <si>
    <t>Объемный вес, кг / 计费重量</t>
  </si>
  <si>
    <t>Вес брутто, кг / 毛重</t>
  </si>
  <si>
    <t>Диапазон объема / 体积区间</t>
  </si>
  <si>
    <t>Паллетизирован? / 是否打托</t>
  </si>
  <si>
    <t>Да</t>
  </si>
  <si>
    <t>Тарифное ЖД плечо, USD / 铁路费用</t>
  </si>
  <si>
    <t>Штабелируемый груз? / 可否堆叠</t>
  </si>
  <si>
    <t>Сбор за документы, USD / 文件费</t>
  </si>
  <si>
    <t>Объем к оплате, м³ / 计费体积</t>
  </si>
  <si>
    <t>Авто: расчет за м³, USD / 提货按方</t>
  </si>
  <si>
    <t>Вес одного места, кг / 单件重量</t>
  </si>
  <si>
    <t>Авто: расчет за тонну, USD / 提货按吨</t>
  </si>
  <si>
    <t>Длина места, м / 单件长度</t>
  </si>
  <si>
    <t>Авто: база, USD / 提货基础价</t>
  </si>
  <si>
    <t>Нужна автодоставка? / 是否提货</t>
  </si>
  <si>
    <t>Комиссия агента, USD / 代理费</t>
  </si>
  <si>
    <t>Город автодоставки / 提货城市</t>
  </si>
  <si>
    <t>Dongguan / 东莞</t>
  </si>
  <si>
    <t>Pickup charge, USD / 提货附加费</t>
  </si>
  <si>
    <t>Автодоставка итого, USD / 提货合计</t>
  </si>
  <si>
    <t>Итоговая стоимость, USD / 总价</t>
  </si>
  <si>
    <t>Стоимость за м³, USD</t>
  </si>
  <si>
    <t>Контейнерный ориентир, USD/м³</t>
  </si>
  <si>
    <t>Контейнерный эквивалент, USD</t>
  </si>
  <si>
    <t>Премия к контейнерному ориентиру</t>
  </si>
  <si>
    <t>Доля авто в ЖД</t>
  </si>
  <si>
    <t>Проверка ограничений</t>
  </si>
  <si>
    <t>Статус маршрута</t>
  </si>
  <si>
    <t>Модель и ограничения</t>
  </si>
  <si>
    <t>Параметр</t>
  </si>
  <si>
    <t>Значение</t>
  </si>
  <si>
    <t>Ед.</t>
  </si>
  <si>
    <t>Комментарий</t>
  </si>
  <si>
    <t>Стоимость целого контейнера</t>
  </si>
  <si>
    <t>USD</t>
  </si>
  <si>
    <t>Исходная стоимость контейнера</t>
  </si>
  <si>
    <t>Вместимость контейнера</t>
  </si>
  <si>
    <t>м³</t>
  </si>
  <si>
    <t>Редактируемое допущение</t>
  </si>
  <si>
    <t>Контейнерный ориентир</t>
  </si>
  <si>
    <t>USD/м³</t>
  </si>
  <si>
    <t>Стоимость контейнера / вместимость</t>
  </si>
  <si>
    <t>Объемный коэффициент</t>
  </si>
  <si>
    <t>кг/м³</t>
  </si>
  <si>
    <t>Для ЖД плеча: 1 м³ = 500 кг</t>
  </si>
  <si>
    <t>Авто-доставка: 1 м³ =</t>
  </si>
  <si>
    <t>т</t>
  </si>
  <si>
    <t>Для сравнения ставок за м³ и за тонну</t>
  </si>
  <si>
    <t>Сбор за документы</t>
  </si>
  <si>
    <t>USD/партия</t>
  </si>
  <si>
    <t>Добавляется всегда</t>
  </si>
  <si>
    <t>Тариф 0–1 м³ (фикс.)</t>
  </si>
  <si>
    <t>Фиксированная ставка</t>
  </si>
  <si>
    <t>Тариф 1–5 м³</t>
  </si>
  <si>
    <t>Ставка за куб</t>
  </si>
  <si>
    <t>Тариф 5–10 м³</t>
  </si>
  <si>
    <t>Тариф &gt;10 м³</t>
  </si>
  <si>
    <t>Допустимая премия к контейнерному ориентиру</t>
  </si>
  <si>
    <t>x</t>
  </si>
  <si>
    <t>Для полной ставки</t>
  </si>
  <si>
    <t>Макс. доля авто к ЖД плечу</t>
  </si>
  <si>
    <t>доля</t>
  </si>
  <si>
    <t>Если выше — проверить вручную</t>
  </si>
  <si>
    <t>Макс. вес одного места</t>
  </si>
  <si>
    <t>кг</t>
  </si>
  <si>
    <t>Ограничение</t>
  </si>
  <si>
    <t>Макс. длина одного места</t>
  </si>
  <si>
    <t>м</t>
  </si>
  <si>
    <t>Комиссия агента (авто)</t>
  </si>
  <si>
    <t>CNY/партия</t>
  </si>
  <si>
    <t>Добавляется к каждой партии при автодоставке</t>
  </si>
  <si>
    <t>Pickup charge &lt; 15 м³ и &lt; 4 т</t>
  </si>
  <si>
    <t>Сбор за партию, если объем &lt; 15 м³ и вес &lt; 4 т</t>
  </si>
  <si>
    <t>Pickup charge ≥ 15 м³ или ≥ 4 т</t>
  </si>
  <si>
    <t>Сбор за партию, если объем ≥ 15 м³ или вес ≥ 4 т</t>
  </si>
  <si>
    <t>Автодоставка до станции Suzhou Jiangsu / 提货到江苏苏州站</t>
  </si>
  <si>
    <t xml:space="preserve">курс </t>
  </si>
  <si>
    <t>=</t>
  </si>
  <si>
    <t>Город отправления / 提货城市</t>
  </si>
  <si>
    <t>Станция хаба / 集货站</t>
  </si>
  <si>
    <t>Ставка, USD/м³</t>
  </si>
  <si>
    <t>Ставка, USD/т</t>
  </si>
  <si>
    <t>Комиссия агента, USD/партия</t>
  </si>
  <si>
    <t>Pickup charge &lt;15м³/&lt;4т, USD/партия</t>
  </si>
  <si>
    <t>Pickup charge ≥15м³/≥4т, USD/партия</t>
  </si>
  <si>
    <t>Активна / 启用</t>
  </si>
  <si>
    <t>Примечание / 备注</t>
  </si>
  <si>
    <t>City_EN</t>
  </si>
  <si>
    <t>City_CN</t>
  </si>
  <si>
    <t>Beijing / 北京</t>
  </si>
  <si>
    <t>Suzhou Jiangsu / 江苏苏州</t>
  </si>
  <si>
    <t>Авто = MAX(м³×USD/м³; т×USD/т) + комиссия агента + pickup charge</t>
  </si>
  <si>
    <t>Beijing</t>
  </si>
  <si>
    <t>北京</t>
  </si>
  <si>
    <t>Tianjin / 天津</t>
  </si>
  <si>
    <t>Tianjin</t>
  </si>
  <si>
    <t>天津</t>
  </si>
  <si>
    <t>Shanghai</t>
  </si>
  <si>
    <t>上海</t>
  </si>
  <si>
    <t>Chongqing / 重庆</t>
  </si>
  <si>
    <t>Chongqing</t>
  </si>
  <si>
    <t>重庆</t>
  </si>
  <si>
    <t>Shenyang / 沈阳</t>
  </si>
  <si>
    <t>Shenyang</t>
  </si>
  <si>
    <t>沈阳</t>
  </si>
  <si>
    <t>Dalian / 大连</t>
  </si>
  <si>
    <t>Dalian</t>
  </si>
  <si>
    <t>大连</t>
  </si>
  <si>
    <t>Shijiazhuang / 石家庄</t>
  </si>
  <si>
    <t>Shijiazhuang</t>
  </si>
  <si>
    <t>石家庄</t>
  </si>
  <si>
    <t>Cangzhou / 沧州</t>
  </si>
  <si>
    <t>Cangzhou</t>
  </si>
  <si>
    <t>沧州</t>
  </si>
  <si>
    <t>Baoding / 保定</t>
  </si>
  <si>
    <t>Baoding</t>
  </si>
  <si>
    <t>保定</t>
  </si>
  <si>
    <t>Xingtai / 邢台</t>
  </si>
  <si>
    <t>Xingtai</t>
  </si>
  <si>
    <t>邢台</t>
  </si>
  <si>
    <t>Hengshui / 衡水</t>
  </si>
  <si>
    <t>Hengshui</t>
  </si>
  <si>
    <t>衡水</t>
  </si>
  <si>
    <t>Jinan / 济南</t>
  </si>
  <si>
    <t>Jinan</t>
  </si>
  <si>
    <t>济南</t>
  </si>
  <si>
    <t>Qingdao / 青岛</t>
  </si>
  <si>
    <t>Qingdao</t>
  </si>
  <si>
    <t>青岛</t>
  </si>
  <si>
    <t>Yantai / 烟台</t>
  </si>
  <si>
    <t>Yantai</t>
  </si>
  <si>
    <t>烟台</t>
  </si>
  <si>
    <t>Zibo / 淄博</t>
  </si>
  <si>
    <t>Zibo</t>
  </si>
  <si>
    <t>淄博</t>
  </si>
  <si>
    <t>Weifang / 潍坊</t>
  </si>
  <si>
    <t>Weifang</t>
  </si>
  <si>
    <t>潍坊</t>
  </si>
  <si>
    <t>Jining</t>
  </si>
  <si>
    <t>Dezhou</t>
  </si>
  <si>
    <t>Linyi / 临沂</t>
  </si>
  <si>
    <t>Linyi</t>
  </si>
  <si>
    <t>临沂</t>
  </si>
  <si>
    <t>Nanjing / 南京</t>
  </si>
  <si>
    <t>Nanjing</t>
  </si>
  <si>
    <t>南京</t>
  </si>
  <si>
    <t>Wuxi / 无锡</t>
  </si>
  <si>
    <t>Wuxi</t>
  </si>
  <si>
    <t>无锡</t>
  </si>
  <si>
    <t>Changzhou</t>
  </si>
  <si>
    <t>Suzhou / 苏州</t>
  </si>
  <si>
    <t>Suzhou</t>
  </si>
  <si>
    <t>苏州</t>
  </si>
  <si>
    <t>Kunshan</t>
  </si>
  <si>
    <t>Taicang</t>
  </si>
  <si>
    <t>Nantong</t>
  </si>
  <si>
    <t>Yancheng</t>
  </si>
  <si>
    <t>Yangzhou</t>
  </si>
  <si>
    <t>Taizhou / 台州</t>
  </si>
  <si>
    <t>Taizhou</t>
  </si>
  <si>
    <t>台州</t>
  </si>
  <si>
    <t>Xuzhou</t>
  </si>
  <si>
    <t>Hangzhou / 杭州</t>
  </si>
  <si>
    <t>Hangzhou</t>
  </si>
  <si>
    <t>杭州</t>
  </si>
  <si>
    <t>Ningbo / 宁波</t>
  </si>
  <si>
    <t>Ningbo</t>
  </si>
  <si>
    <t>宁波</t>
  </si>
  <si>
    <t>Jiaxing / 嘉兴</t>
  </si>
  <si>
    <t>Jiaxing</t>
  </si>
  <si>
    <t>嘉兴</t>
  </si>
  <si>
    <t>Quzhou</t>
  </si>
  <si>
    <t>Fuzhou / 福州</t>
  </si>
  <si>
    <t>Fuzhou</t>
  </si>
  <si>
    <t>福州</t>
  </si>
  <si>
    <t>Quanzhou / 泉州</t>
  </si>
  <si>
    <t>Quanzhou</t>
  </si>
  <si>
    <t>泉州</t>
  </si>
  <si>
    <t>Xiamen / 厦门</t>
  </si>
  <si>
    <t>Xiamen</t>
  </si>
  <si>
    <t>厦门</t>
  </si>
  <si>
    <t>Zhangzhou / 漳州</t>
  </si>
  <si>
    <t>Zhangzhou</t>
  </si>
  <si>
    <t>漳州</t>
  </si>
  <si>
    <t>Guangzhou / 广州</t>
  </si>
  <si>
    <t>Guangzhou</t>
  </si>
  <si>
    <t>广州</t>
  </si>
  <si>
    <t>Shenzhen / 深圳</t>
  </si>
  <si>
    <t>Shenzhen</t>
  </si>
  <si>
    <t>深圳</t>
  </si>
  <si>
    <t>Dongguan</t>
  </si>
  <si>
    <t>东莞</t>
  </si>
  <si>
    <t>Foshan / 佛山</t>
  </si>
  <si>
    <t>Foshan</t>
  </si>
  <si>
    <t>佛山</t>
  </si>
  <si>
    <t>Zhongshan / 中山</t>
  </si>
  <si>
    <t>Zhongshan</t>
  </si>
  <si>
    <t>中山</t>
  </si>
  <si>
    <t>Jiangmen / 江门</t>
  </si>
  <si>
    <t>Jiangmen</t>
  </si>
  <si>
    <t>江门</t>
  </si>
  <si>
    <t>Huizhou / 惠州</t>
  </si>
  <si>
    <t>Huizhou</t>
  </si>
  <si>
    <t>惠州</t>
  </si>
  <si>
    <t>Shantou</t>
  </si>
  <si>
    <t>Chengdu / 成都</t>
  </si>
  <si>
    <t>Chengdu</t>
  </si>
  <si>
    <t>成都</t>
  </si>
  <si>
    <t>Xi'an</t>
  </si>
  <si>
    <t>Zhengzhou / 郑州</t>
  </si>
  <si>
    <t>Zhengzhou</t>
  </si>
  <si>
    <t>郑州</t>
  </si>
  <si>
    <t>Wuhan / 武汉</t>
  </si>
  <si>
    <t>Wuhan</t>
  </si>
  <si>
    <t>武汉</t>
  </si>
  <si>
    <t>Hefei / 合肥</t>
  </si>
  <si>
    <t>Hefei</t>
  </si>
  <si>
    <t>合肥</t>
  </si>
  <si>
    <t>Wuhu</t>
  </si>
  <si>
    <t>Nanchang / 南昌</t>
  </si>
  <si>
    <t>Nanchang</t>
  </si>
  <si>
    <t>南昌</t>
  </si>
  <si>
    <t>Ganzhou</t>
  </si>
  <si>
    <t>Тестовые примеры для проверки менеджером</t>
  </si>
  <si>
    <t>Сценарий</t>
  </si>
  <si>
    <t>Город</t>
  </si>
  <si>
    <t>Объем факт, м³</t>
  </si>
  <si>
    <t>Вес, кг</t>
  </si>
  <si>
    <t>Штаб.?</t>
  </si>
  <si>
    <t>Объем к оплате, м³</t>
  </si>
  <si>
    <t>Вес места, кг</t>
  </si>
  <si>
    <t>Длина, м</t>
  </si>
  <si>
    <t>Авто?</t>
  </si>
  <si>
    <t>Город авто</t>
  </si>
  <si>
    <t>Ожидаемый итог, USD</t>
  </si>
  <si>
    <t>Штабел., без авто, 0.8 м³</t>
  </si>
  <si>
    <t>Нет</t>
  </si>
  <si>
    <t>145 + 150</t>
  </si>
  <si>
    <t>Не штабел., 2 м³ факт / 3 м³ к оплате</t>
  </si>
  <si>
    <t>145×3 + 150</t>
  </si>
  <si>
    <t>С авто: берем больше из м³/т</t>
  </si>
  <si>
    <t>база авто + 200 CNY + 250 CNY (партия &lt;15м³ и &lt;4т)</t>
  </si>
  <si>
    <t>Перевес одного места</t>
  </si>
  <si>
    <t>должен дать статус согласования</t>
  </si>
  <si>
    <t>Длина &gt; 6 м</t>
  </si>
  <si>
    <t>С авто: pickup 350 CNY</t>
  </si>
  <si>
    <t>база авто + 200 CNY + 350 CNY (≥15м³ или ≥4т)</t>
  </si>
  <si>
    <t>Как использовать файл / 使用说明</t>
  </si>
  <si>
    <t>1. Quote_Calculator</t>
  </si>
  <si>
    <t>Вводите фактический объем, вес, штабелируемость, вес одного места, длину места и необходимость авто.</t>
  </si>
  <si>
    <t>2. Штабелируемость</t>
  </si>
  <si>
    <t>Если груз не штабелируется, расчет идет по объему к оплате, который включает пустое пространство над грузом.</t>
  </si>
  <si>
    <t>3. Ограничения</t>
  </si>
  <si>
    <t>Если вес одного места &gt; 3 т или длина &gt; 6 м, маршрут помечается как "Требует согласования".</t>
  </si>
  <si>
    <t>4. Автодоставка</t>
  </si>
  <si>
    <t>На листе Auto_Delivery_CN ставка задается отдельно в USD/м³ и USD/т; в расчете берется большее из двух значений.</t>
  </si>
  <si>
    <t>5. Контейнерный ориентир</t>
  </si>
  <si>
    <t>Рассчитывается как 7800 USD / вместимость контейнера. По умолчанию: 7800 / 68 = 114.71 USD/м³.</t>
  </si>
  <si>
    <t>6. Город авто</t>
  </si>
  <si>
    <t>На Quote_Calculator можно выбрать город автодоставки из списка Auto_Delivery_CN, ставка пересчитается автоматически.</t>
  </si>
  <si>
    <t>Обновление логики автодоставки</t>
  </si>
  <si>
    <t>К авто на каждую партию добавляется комиссия агента 200 CNY.</t>
  </si>
  <si>
    <t>Pickup charge: 250 CNY за партию при объеме &lt; 15 м³ и весе &lt; 4 т; 350 CNY за партию при объеме ≥ 15 м³ или весе ≥ 4 т.</t>
  </si>
  <si>
    <t>Итог авто = MAX(объем×ставка USD/м³; вес_т×ставка USD/т) + комиссия агента + pickup charge.</t>
  </si>
  <si>
    <t>Исправление: расчетный объем теперь = MAX(вес/500; факт. объем для штабелируемого; объем к оплате для не штабелируемого).</t>
  </si>
  <si>
    <t>7. Китайские названия / 中文</t>
  </si>
  <si>
    <t>Города в авто-доставке показаны в формате English / 中文, например Shanghai / 上海.</t>
  </si>
  <si>
    <t>8. Заказ из Telegram / Telegram 下单</t>
  </si>
  <si>
    <t>После расчета бот показывает кнопку «Заказать». Затем клиент вводит имя и e-mail, и расчет отправляется на sales@gfeng.ru.</t>
  </si>
  <si>
    <t>9. Работа 24/7 / 24小时运行</t>
  </si>
  <si>
    <t>Для круглосуточной работы используйте Railway/Render/PythonAnywhere и переменные окружения из README в пакете.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</si>
</sst>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¥-478]#,##0.00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1"/>
      <color rgb="FF000000"/>
      <name val="Cambria"/>
      <family val="1"/>
    </font>
    <font>
      <sz val="11"/>
      <color rgb="FF0000FF"/>
      <name val="Cambria"/>
      <family val="1"/>
    </font>
    <font>
      <sz val="11"/>
      <color rgb="FF000000"/>
      <name val="Cambria"/>
      <family val="1"/>
    </font>
    <font>
      <sz val="11"/>
      <color rgb="FF800080"/>
      <name val="Cambria"/>
      <family val="1"/>
    </font>
    <font>
      <b/>
      <sz val="14"/>
      <color theme="1"/>
      <name val="Calibri"/>
      <family val="2"/>
      <charset val="204"/>
    </font>
    <font>
      <b/>
      <sz val="14"/>
      <color rgb="FF000000"/>
      <name val="Cambria"/>
      <family val="1"/>
      <charset val="204"/>
    </font>
    <font>
      <sz val="11"/>
      <color rgb="FF0000FF"/>
      <name val="Cambria"/>
      <family val="1"/>
    </font>
    <font>
      <sz val="11"/>
      <color theme="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F"/>
      </patternFill>
    </fill>
    <fill>
      <patternFill patternType="solid">
        <fgColor rgb="FFEAF2FF"/>
        <bgColor rgb="FFD9EAF7"/>
      </patternFill>
    </fill>
    <fill>
      <patternFill patternType="solid">
        <fgColor rgb="FFF3E5F5"/>
        <bgColor rgb="FFEAF2FF"/>
      </patternFill>
    </fill>
  </fills>
  <borders count="2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5" fillId="0" borderId="1" xfId="0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0" fontId="5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2" fillId="3" borderId="1" xfId="0" applyFont="1" applyFill="1" applyBorder="1"/>
    <xf numFmtId="0" fontId="0" fillId="0" borderId="1" xfId="0" applyBorder="1"/>
    <xf numFmtId="2" fontId="0" fillId="0" borderId="0" xfId="0" applyNumberFormat="1"/>
    <xf numFmtId="165" fontId="0" fillId="0" borderId="0" xfId="0" applyNumberFormat="1"/>
    <xf numFmtId="0" fontId="7" fillId="3" borderId="1" xfId="0" applyFont="1" applyFill="1" applyBorder="1"/>
    <xf numFmtId="4" fontId="5" fillId="0" borderId="1" xfId="0" applyNumberFormat="1" applyFont="1" applyBorder="1"/>
    <xf numFmtId="4" fontId="8" fillId="0" borderId="1" xfId="0" applyNumberFormat="1" applyFont="1" applyBorder="1"/>
    <xf numFmtId="4" fontId="0" fillId="0" borderId="0" xfId="0" applyNumberFormat="1"/>
    <xf numFmtId="4" fontId="0" fillId="0" borderId="1" xfId="0" applyNumberFormat="1" applyBorder="1"/>
    <xf numFmtId="0" fontId="10" fillId="3" borderId="1" xfId="0" applyFont="1" applyFill="1" applyBorder="1"/>
    <xf numFmtId="0" fontId="4" fillId="4" borderId="1" xfId="0" applyFont="1" applyFill="1" applyBorder="1" applyAlignment="1">
      <alignment horizontal="right"/>
    </xf>
    <xf numFmtId="2" fontId="9" fillId="4" borderId="1" xfId="0" applyNumberFormat="1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right"/>
    </xf>
    <xf numFmtId="2" fontId="4" fillId="4" borderId="1" xfId="0" applyNumberFormat="1" applyFont="1" applyFill="1" applyBorder="1" applyAlignment="1">
      <alignment horizontal="right"/>
    </xf>
    <xf numFmtId="0" fontId="1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5F5"/>
      <rgbColor rgb="FFD9EAF7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22"/>
  <sheetViews>
    <sheetView zoomScaleNormal="100" workbookViewId="0">
      <pane ySplit="1" topLeftCell="A2" activePane="bottomLeft" state="frozen"/>
      <selection pane="bottomLeft" activeCell="B6" sqref="B6"/>
    </sheetView>
  </sheetViews>
  <sheetFormatPr baseColWidth="10" defaultColWidth="8.6640625" defaultRowHeight="15" customHeight="1" x14ac:dyDescent="0.2"/>
  <cols>
    <col min="1" max="1" width="30" customWidth="1"/>
    <col min="2" max="2" width="18" customWidth="1"/>
    <col min="3" max="3" width="4" customWidth="1"/>
    <col min="4" max="4" width="28" customWidth="1"/>
    <col min="5" max="5" width="31.83203125" customWidth="1"/>
    <col min="6" max="6" width="4" customWidth="1"/>
  </cols>
  <sheetData>
    <row r="1" spans="1:7" ht="30" customHeight="1" x14ac:dyDescent="0.2">
      <c r="A1" s="1" t="s">
        <v>0</v>
      </c>
      <c r="B1" s="1"/>
      <c r="C1" s="1"/>
      <c r="D1" s="1"/>
      <c r="E1" s="1"/>
      <c r="F1" s="1"/>
    </row>
    <row r="2" spans="1:7" x14ac:dyDescent="0.2">
      <c r="A2" s="2" t="s">
        <v>1</v>
      </c>
      <c r="B2" s="3"/>
      <c r="D2" s="2" t="s">
        <v>2</v>
      </c>
      <c r="E2" s="3"/>
    </row>
    <row r="3" spans="1:7" x14ac:dyDescent="0.2">
      <c r="A3" s="4" t="s">
        <v>3</v>
      </c>
      <c r="B3" s="22" t="s">
        <v>4</v>
      </c>
      <c r="D3" s="4" t="s">
        <v>5</v>
      </c>
      <c r="E3" s="5" t="str">
        <f>IF(B12="Да",B13&amp;" → Suzhou Jiangsu → Москва",B3&amp;" → Suzhou Jiangsu → Москва")</f>
        <v>Dongguan / 东莞 → Suzhou Jiangsu → Москва</v>
      </c>
    </row>
    <row r="4" spans="1:7" x14ac:dyDescent="0.2">
      <c r="A4" s="4" t="s">
        <v>6</v>
      </c>
      <c r="B4" s="22" t="s">
        <v>7</v>
      </c>
      <c r="D4" s="4" t="s">
        <v>8</v>
      </c>
      <c r="E4" s="6">
        <f>MAX(B6/Controls!$B$6,IF(B8="Да",B5,B9))</f>
        <v>8.08</v>
      </c>
    </row>
    <row r="5" spans="1:7" x14ac:dyDescent="0.2">
      <c r="A5" s="4" t="s">
        <v>9</v>
      </c>
      <c r="B5" s="23">
        <v>5</v>
      </c>
      <c r="D5" s="4" t="s">
        <v>10</v>
      </c>
      <c r="E5" s="6">
        <f>E4*Controls!$B$6</f>
        <v>4040</v>
      </c>
    </row>
    <row r="6" spans="1:7" x14ac:dyDescent="0.2">
      <c r="A6" s="4" t="s">
        <v>11</v>
      </c>
      <c r="B6" s="24">
        <v>4040</v>
      </c>
      <c r="D6" s="4" t="s">
        <v>12</v>
      </c>
      <c r="E6" s="5" t="str">
        <f>IF(E4&lt;=1,"0-1",IF(E4&lt;=5,"1-5",IF(E4&lt;=10,"5-10","&gt;10")))</f>
        <v>5-10</v>
      </c>
    </row>
    <row r="7" spans="1:7" x14ac:dyDescent="0.2">
      <c r="A7" s="4" t="s">
        <v>13</v>
      </c>
      <c r="B7" s="22" t="s">
        <v>14</v>
      </c>
      <c r="D7" s="4" t="s">
        <v>15</v>
      </c>
      <c r="E7" s="17">
        <f>IF(E6="0-1",Controls!$B$9,IF(E6="1-5",E4*Controls!$B$10,IF(E6="5-10",E4*Controls!$B$11,E4*Controls!$B$12)))</f>
        <v>1212</v>
      </c>
    </row>
    <row r="8" spans="1:7" x14ac:dyDescent="0.2">
      <c r="A8" s="4" t="s">
        <v>16</v>
      </c>
      <c r="B8" s="22" t="s">
        <v>14</v>
      </c>
      <c r="D8" s="4" t="s">
        <v>17</v>
      </c>
      <c r="E8" s="17">
        <f>Controls!$B$8</f>
        <v>150</v>
      </c>
    </row>
    <row r="9" spans="1:7" x14ac:dyDescent="0.2">
      <c r="A9" s="4" t="s">
        <v>18</v>
      </c>
      <c r="B9" s="25">
        <v>3</v>
      </c>
      <c r="D9" s="4" t="s">
        <v>19</v>
      </c>
      <c r="E9" s="17">
        <f>IF(B12="Да",E4*IFERROR(VLOOKUP(B13,Auto_Delivery_CN!$A$3:$I$200,3,FALSE()),0),0)</f>
        <v>140.52173913043478</v>
      </c>
    </row>
    <row r="10" spans="1:7" x14ac:dyDescent="0.2">
      <c r="A10" s="4" t="s">
        <v>20</v>
      </c>
      <c r="B10" s="24">
        <v>2000</v>
      </c>
      <c r="D10" s="4" t="s">
        <v>21</v>
      </c>
      <c r="E10" s="17">
        <f>IF(B12="Да",(B6/1000)*IFERROR(VLOOKUP(B13,Auto_Delivery_CN!$A$3:$I$200,4,FALSE()),0),0)</f>
        <v>263.47826086956525</v>
      </c>
    </row>
    <row r="11" spans="1:7" x14ac:dyDescent="0.2">
      <c r="A11" s="4" t="s">
        <v>22</v>
      </c>
      <c r="B11" s="25">
        <v>5</v>
      </c>
      <c r="D11" s="4" t="s">
        <v>23</v>
      </c>
      <c r="E11" s="17">
        <f>MAX(E9,E10)</f>
        <v>263.47826086956525</v>
      </c>
    </row>
    <row r="12" spans="1:7" ht="19" customHeight="1" x14ac:dyDescent="0.2">
      <c r="A12" s="4" t="s">
        <v>24</v>
      </c>
      <c r="B12" s="22" t="s">
        <v>14</v>
      </c>
      <c r="D12" s="21" t="s">
        <v>25</v>
      </c>
      <c r="E12" s="17">
        <f>IF(B12="Да",Controls!$B$17/курс,0)</f>
        <v>0</v>
      </c>
      <c r="G12" s="14"/>
    </row>
    <row r="13" spans="1:7" x14ac:dyDescent="0.2">
      <c r="A13" s="4" t="s">
        <v>26</v>
      </c>
      <c r="B13" s="22" t="s">
        <v>27</v>
      </c>
      <c r="D13" s="4" t="s">
        <v>28</v>
      </c>
      <c r="E13" s="17">
        <f>IF(B12="Да",IF(OR(E4&gt;=15,B6/1000&gt;=4),Controls!$B$19/курс,Controls!$B$18/курс),0)</f>
        <v>50.724637681159415</v>
      </c>
    </row>
    <row r="14" spans="1:7" x14ac:dyDescent="0.2">
      <c r="D14" s="4" t="s">
        <v>29</v>
      </c>
      <c r="E14" s="17">
        <f>SUM(E11:E13)</f>
        <v>314.20289855072468</v>
      </c>
    </row>
    <row r="15" spans="1:7" ht="19" customHeight="1" x14ac:dyDescent="0.25">
      <c r="D15" s="16" t="s">
        <v>30</v>
      </c>
      <c r="E15" s="18">
        <f>E7+E8+E14</f>
        <v>1676.2028985507247</v>
      </c>
    </row>
    <row r="16" spans="1:7" x14ac:dyDescent="0.2">
      <c r="D16" s="4" t="s">
        <v>31</v>
      </c>
      <c r="E16" s="17">
        <f>IF(E4&gt;0,E15/E4,"")</f>
        <v>207.45085378103028</v>
      </c>
    </row>
    <row r="17" spans="4:5" x14ac:dyDescent="0.2">
      <c r="D17" s="4" t="s">
        <v>32</v>
      </c>
      <c r="E17" s="17">
        <f>Controls!$B$5</f>
        <v>140.8450704225352</v>
      </c>
    </row>
    <row r="18" spans="4:5" x14ac:dyDescent="0.2">
      <c r="D18" s="4" t="s">
        <v>33</v>
      </c>
      <c r="E18" s="17">
        <f>E4*Controls!$B$5</f>
        <v>1138.0281690140844</v>
      </c>
    </row>
    <row r="19" spans="4:5" x14ac:dyDescent="0.2">
      <c r="D19" s="4" t="s">
        <v>34</v>
      </c>
      <c r="E19" s="7">
        <f>IF(E18&gt;0,E15/E18-1,"")</f>
        <v>0.47290106184531533</v>
      </c>
    </row>
    <row r="20" spans="4:5" x14ac:dyDescent="0.2">
      <c r="D20" s="4" t="s">
        <v>35</v>
      </c>
      <c r="E20" s="7">
        <f>IF(E7&gt;0,E14/E7,0)</f>
        <v>0.25924331563591146</v>
      </c>
    </row>
    <row r="21" spans="4:5" x14ac:dyDescent="0.2">
      <c r="D21" s="4" t="s">
        <v>36</v>
      </c>
      <c r="E21" s="5" t="str">
        <f>IF(B10&gt;Controls!$B$15,"вес места &gt; 3 т","")&amp;IF(AND(B10&gt;Controls!$B$15,B11&gt;Controls!$B$16),"; ","")&amp;IF(B11&gt;Controls!$B$16,"длина &gt; 6 м","")&amp;IF(AND(B8="Нет",B9&lt;B5,OR(B10&gt;Controls!$B$15,B11&gt;Controls!$B$16)),"; ","")&amp;IF(AND(B8="Нет",B9&lt;B5),"проверьте объем к оплате","")</f>
        <v/>
      </c>
    </row>
    <row r="22" spans="4:5" x14ac:dyDescent="0.2">
      <c r="D22" s="4" t="s">
        <v>37</v>
      </c>
      <c r="E22" s="5" t="str">
        <f>IF(OR(B10&gt;Controls!$B$15,B11&gt;Controls!$B$16),"Требует согласования",IF(AND(B12="Да",COUNTIF(Auto_Delivery_CN!$A$3:$A$200,B13)=0),"Нет ставки авто",IF(AND(B12="Да",OR(E20&gt;Controls!$B$14,E19&gt;Controls!$B$13-1)),"Проверить вручную","Ок")))</f>
        <v>Проверить вручную</v>
      </c>
    </row>
  </sheetData>
  <dataValidations count="2">
    <dataValidation type="list" sqref="B7:B8 B12" xr:uid="{00000000-0002-0000-0000-000000000000}">
      <formula1>"Да,Нет"</formula1>
      <formula2>0</formula2>
    </dataValidation>
    <dataValidation type="list" allowBlank="1" showInputMessage="1" showErrorMessage="1" errorTitle="Некорректный город" error="Выберите город только из списка Auto_Delivery_CN." promptTitle="Выбор города" prompt="Выберите город автодоставки из списка." sqref="B13" xr:uid="{00000000-0002-0000-0000-000001000000}">
      <formula1>AutoCityList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G24"/>
  <sheetViews>
    <sheetView zoomScaleNormal="100" workbookViewId="0">
      <pane ySplit="1" topLeftCell="A2" activePane="bottomLeft" state="frozen"/>
      <selection pane="bottomLeft" activeCell="B18" sqref="B18"/>
    </sheetView>
  </sheetViews>
  <sheetFormatPr baseColWidth="10" defaultColWidth="8.6640625" defaultRowHeight="15" customHeight="1" x14ac:dyDescent="0.2"/>
  <cols>
    <col min="1" max="1" width="34" customWidth="1"/>
    <col min="2" max="2" width="14" customWidth="1"/>
    <col min="3" max="3" width="12" customWidth="1"/>
    <col min="4" max="4" width="44" customWidth="1"/>
  </cols>
  <sheetData>
    <row r="1" spans="1:4" x14ac:dyDescent="0.2">
      <c r="A1" s="1" t="s">
        <v>38</v>
      </c>
      <c r="B1" s="1"/>
      <c r="C1" s="1"/>
      <c r="D1" s="1"/>
    </row>
    <row r="2" spans="1:4" x14ac:dyDescent="0.2">
      <c r="A2" s="2" t="s">
        <v>39</v>
      </c>
      <c r="B2" s="2" t="s">
        <v>40</v>
      </c>
      <c r="C2" s="2" t="s">
        <v>41</v>
      </c>
      <c r="D2" s="2" t="s">
        <v>42</v>
      </c>
    </row>
    <row r="3" spans="1:4" ht="16" customHeight="1" x14ac:dyDescent="0.2">
      <c r="A3" s="8" t="s">
        <v>43</v>
      </c>
      <c r="B3" s="9">
        <v>10000</v>
      </c>
      <c r="C3" s="10" t="s">
        <v>44</v>
      </c>
      <c r="D3" s="11" t="s">
        <v>45</v>
      </c>
    </row>
    <row r="4" spans="1:4" ht="16" customHeight="1" x14ac:dyDescent="0.2">
      <c r="A4" s="8" t="s">
        <v>46</v>
      </c>
      <c r="B4" s="9">
        <v>71</v>
      </c>
      <c r="C4" s="10" t="s">
        <v>47</v>
      </c>
      <c r="D4" s="11" t="s">
        <v>48</v>
      </c>
    </row>
    <row r="5" spans="1:4" ht="16" customHeight="1" x14ac:dyDescent="0.2">
      <c r="A5" s="8" t="s">
        <v>49</v>
      </c>
      <c r="B5" s="10">
        <f>B3/B4</f>
        <v>140.8450704225352</v>
      </c>
      <c r="C5" s="10" t="s">
        <v>50</v>
      </c>
      <c r="D5" s="11" t="s">
        <v>51</v>
      </c>
    </row>
    <row r="6" spans="1:4" ht="16" customHeight="1" x14ac:dyDescent="0.2">
      <c r="A6" s="8" t="s">
        <v>52</v>
      </c>
      <c r="B6" s="9">
        <v>500</v>
      </c>
      <c r="C6" s="10" t="s">
        <v>53</v>
      </c>
      <c r="D6" s="11" t="s">
        <v>54</v>
      </c>
    </row>
    <row r="7" spans="1:4" ht="16" customHeight="1" x14ac:dyDescent="0.2">
      <c r="A7" s="8" t="s">
        <v>55</v>
      </c>
      <c r="B7" s="9">
        <v>1</v>
      </c>
      <c r="C7" s="10" t="s">
        <v>56</v>
      </c>
      <c r="D7" s="11" t="s">
        <v>57</v>
      </c>
    </row>
    <row r="8" spans="1:4" ht="16" customHeight="1" x14ac:dyDescent="0.2">
      <c r="A8" s="8" t="s">
        <v>58</v>
      </c>
      <c r="B8" s="9">
        <v>150</v>
      </c>
      <c r="C8" s="10" t="s">
        <v>59</v>
      </c>
      <c r="D8" s="11" t="s">
        <v>60</v>
      </c>
    </row>
    <row r="9" spans="1:4" ht="16" customHeight="1" x14ac:dyDescent="0.2">
      <c r="A9" s="8" t="s">
        <v>61</v>
      </c>
      <c r="B9" s="9">
        <v>150</v>
      </c>
      <c r="C9" s="10" t="s">
        <v>44</v>
      </c>
      <c r="D9" s="11" t="s">
        <v>62</v>
      </c>
    </row>
    <row r="10" spans="1:4" ht="16" customHeight="1" x14ac:dyDescent="0.2">
      <c r="A10" s="8" t="s">
        <v>63</v>
      </c>
      <c r="B10" s="9">
        <v>150</v>
      </c>
      <c r="C10" s="10" t="s">
        <v>50</v>
      </c>
      <c r="D10" s="11" t="s">
        <v>64</v>
      </c>
    </row>
    <row r="11" spans="1:4" ht="16" customHeight="1" x14ac:dyDescent="0.2">
      <c r="A11" s="8" t="s">
        <v>65</v>
      </c>
      <c r="B11" s="9">
        <v>150</v>
      </c>
      <c r="C11" s="10" t="s">
        <v>50</v>
      </c>
      <c r="D11" s="11" t="s">
        <v>64</v>
      </c>
    </row>
    <row r="12" spans="1:4" ht="16" customHeight="1" x14ac:dyDescent="0.2">
      <c r="A12" s="8" t="s">
        <v>66</v>
      </c>
      <c r="B12" s="9">
        <v>150</v>
      </c>
      <c r="C12" s="10" t="s">
        <v>50</v>
      </c>
      <c r="D12" s="11" t="s">
        <v>64</v>
      </c>
    </row>
    <row r="13" spans="1:4" ht="30" customHeight="1" x14ac:dyDescent="0.2">
      <c r="A13" s="8" t="s">
        <v>67</v>
      </c>
      <c r="B13" s="9">
        <v>1.25</v>
      </c>
      <c r="C13" s="10" t="s">
        <v>68</v>
      </c>
      <c r="D13" s="11" t="s">
        <v>69</v>
      </c>
    </row>
    <row r="14" spans="1:4" ht="16" customHeight="1" x14ac:dyDescent="0.2">
      <c r="A14" s="8" t="s">
        <v>70</v>
      </c>
      <c r="B14" s="9">
        <v>0.35</v>
      </c>
      <c r="C14" s="10" t="s">
        <v>71</v>
      </c>
      <c r="D14" s="11" t="s">
        <v>72</v>
      </c>
    </row>
    <row r="15" spans="1:4" ht="16" customHeight="1" x14ac:dyDescent="0.2">
      <c r="A15" s="8" t="s">
        <v>73</v>
      </c>
      <c r="B15" s="9">
        <v>3000</v>
      </c>
      <c r="C15" s="10" t="s">
        <v>74</v>
      </c>
      <c r="D15" s="11" t="s">
        <v>75</v>
      </c>
    </row>
    <row r="16" spans="1:4" x14ac:dyDescent="0.2">
      <c r="A16" t="s">
        <v>76</v>
      </c>
      <c r="B16">
        <v>6</v>
      </c>
      <c r="C16" t="s">
        <v>77</v>
      </c>
      <c r="D16" t="s">
        <v>75</v>
      </c>
    </row>
    <row r="17" spans="1:7" x14ac:dyDescent="0.2">
      <c r="A17" t="s">
        <v>78</v>
      </c>
      <c r="B17">
        <v>0</v>
      </c>
      <c r="C17" t="s">
        <v>79</v>
      </c>
      <c r="D17" t="s">
        <v>80</v>
      </c>
    </row>
    <row r="18" spans="1:7" x14ac:dyDescent="0.2">
      <c r="A18" t="s">
        <v>81</v>
      </c>
      <c r="B18">
        <v>250</v>
      </c>
      <c r="C18" t="s">
        <v>79</v>
      </c>
      <c r="D18" t="s">
        <v>82</v>
      </c>
    </row>
    <row r="19" spans="1:7" x14ac:dyDescent="0.2">
      <c r="A19" t="s">
        <v>83</v>
      </c>
      <c r="B19">
        <v>350</v>
      </c>
      <c r="C19" t="s">
        <v>79</v>
      </c>
      <c r="D19" t="s">
        <v>84</v>
      </c>
    </row>
    <row r="24" spans="1:7" ht="15" customHeight="1" x14ac:dyDescent="0.2">
      <c r="G24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U57"/>
  <sheetViews>
    <sheetView tabSelected="1" zoomScaleNormal="100" workbookViewId="0">
      <pane ySplit="1" topLeftCell="A24" activePane="bottomLeft" state="frozen"/>
      <selection pane="bottomLeft" activeCell="Q4" sqref="Q4:Q57"/>
    </sheetView>
  </sheetViews>
  <sheetFormatPr baseColWidth="10" defaultColWidth="8.6640625" defaultRowHeight="15" customHeight="1" x14ac:dyDescent="0.2"/>
  <cols>
    <col min="1" max="1" width="20" customWidth="1"/>
    <col min="2" max="2" width="18" customWidth="1"/>
    <col min="3" max="4" width="16" customWidth="1"/>
    <col min="5" max="5" width="14.33203125" customWidth="1"/>
    <col min="6" max="6" width="12" customWidth="1"/>
    <col min="7" max="7" width="30" customWidth="1"/>
  </cols>
  <sheetData>
    <row r="1" spans="1:21" ht="45" customHeight="1" x14ac:dyDescent="0.2">
      <c r="A1" s="1" t="s">
        <v>85</v>
      </c>
      <c r="B1" s="1"/>
      <c r="C1" s="1"/>
      <c r="D1" s="1"/>
      <c r="E1" s="1"/>
      <c r="F1" s="1"/>
      <c r="G1" s="1"/>
      <c r="I1" t="s">
        <v>86</v>
      </c>
      <c r="J1" t="s">
        <v>87</v>
      </c>
      <c r="K1">
        <v>6.9</v>
      </c>
    </row>
    <row r="2" spans="1:21" x14ac:dyDescent="0.2">
      <c r="A2" s="12" t="s">
        <v>88</v>
      </c>
      <c r="B2" s="12" t="s">
        <v>89</v>
      </c>
      <c r="C2" s="12" t="s">
        <v>90</v>
      </c>
      <c r="D2" s="12" t="s">
        <v>91</v>
      </c>
      <c r="E2" s="12" t="s">
        <v>92</v>
      </c>
      <c r="F2" s="12" t="s">
        <v>93</v>
      </c>
      <c r="G2" s="12" t="s">
        <v>94</v>
      </c>
      <c r="H2" s="12" t="s">
        <v>95</v>
      </c>
      <c r="I2" s="12" t="s">
        <v>96</v>
      </c>
      <c r="J2" s="26" t="s">
        <v>97</v>
      </c>
      <c r="K2" s="26" t="s">
        <v>98</v>
      </c>
      <c r="T2" s="15"/>
      <c r="U2" s="15"/>
    </row>
    <row r="3" spans="1:21" x14ac:dyDescent="0.2">
      <c r="A3" t="s">
        <v>99</v>
      </c>
      <c r="B3" s="13" t="s">
        <v>100</v>
      </c>
      <c r="C3" s="19">
        <f t="shared" ref="C3:C34" si="0">O3/курс</f>
        <v>14.492753623188404</v>
      </c>
      <c r="D3" s="19">
        <f t="shared" ref="D3:D34" si="1">N3/курс</f>
        <v>57.971014492753618</v>
      </c>
      <c r="E3" s="20">
        <f>Controls!$B$17/курс</f>
        <v>0</v>
      </c>
      <c r="F3" s="20">
        <f>Controls!$B$18/курс</f>
        <v>36.231884057971016</v>
      </c>
      <c r="G3" s="20">
        <f>Controls!$B$19/курс</f>
        <v>50.724637681159415</v>
      </c>
      <c r="H3" t="s">
        <v>14</v>
      </c>
      <c r="I3" t="s">
        <v>101</v>
      </c>
      <c r="J3" t="s">
        <v>102</v>
      </c>
      <c r="K3" t="s">
        <v>103</v>
      </c>
      <c r="M3" t="s">
        <v>102</v>
      </c>
      <c r="N3">
        <v>400</v>
      </c>
      <c r="O3">
        <v>100</v>
      </c>
      <c r="Q3">
        <v>0</v>
      </c>
      <c r="T3" s="15"/>
      <c r="U3" s="15"/>
    </row>
    <row r="4" spans="1:21" x14ac:dyDescent="0.2">
      <c r="A4" t="s">
        <v>104</v>
      </c>
      <c r="B4" s="13" t="s">
        <v>100</v>
      </c>
      <c r="C4" s="19">
        <f t="shared" si="0"/>
        <v>14.492753623188404</v>
      </c>
      <c r="D4" s="19">
        <f t="shared" si="1"/>
        <v>57.971014492753618</v>
      </c>
      <c r="E4" s="20">
        <f>Controls!$B$17/курс</f>
        <v>0</v>
      </c>
      <c r="F4" s="20">
        <f>Controls!$B$18/курс</f>
        <v>36.231884057971016</v>
      </c>
      <c r="G4" s="20">
        <f>Controls!$B$19/курс</f>
        <v>50.724637681159415</v>
      </c>
      <c r="H4" t="s">
        <v>14</v>
      </c>
      <c r="I4" t="s">
        <v>101</v>
      </c>
      <c r="J4" t="s">
        <v>105</v>
      </c>
      <c r="K4" t="s">
        <v>106</v>
      </c>
      <c r="M4" t="s">
        <v>105</v>
      </c>
      <c r="N4">
        <v>400</v>
      </c>
      <c r="O4">
        <v>100</v>
      </c>
      <c r="Q4">
        <v>0</v>
      </c>
      <c r="T4" s="15"/>
      <c r="U4" s="15"/>
    </row>
    <row r="5" spans="1:21" x14ac:dyDescent="0.2">
      <c r="A5" t="s">
        <v>4</v>
      </c>
      <c r="B5" s="13" t="s">
        <v>100</v>
      </c>
      <c r="C5" s="19">
        <f t="shared" si="0"/>
        <v>8.695652173913043</v>
      </c>
      <c r="D5" s="19">
        <f t="shared" si="1"/>
        <v>26.086956521739129</v>
      </c>
      <c r="E5" s="20">
        <f>Controls!$B$17/курс</f>
        <v>0</v>
      </c>
      <c r="F5" s="20">
        <f>Controls!$B$18/курс</f>
        <v>36.231884057971016</v>
      </c>
      <c r="G5" s="20">
        <f>Controls!$B$19/курс</f>
        <v>50.724637681159415</v>
      </c>
      <c r="H5" t="s">
        <v>14</v>
      </c>
      <c r="I5" t="s">
        <v>101</v>
      </c>
      <c r="J5" t="s">
        <v>107</v>
      </c>
      <c r="K5" t="s">
        <v>108</v>
      </c>
      <c r="M5" t="s">
        <v>107</v>
      </c>
      <c r="N5">
        <v>180</v>
      </c>
      <c r="O5">
        <v>60</v>
      </c>
      <c r="Q5">
        <v>0</v>
      </c>
      <c r="T5" s="15"/>
      <c r="U5" s="15"/>
    </row>
    <row r="6" spans="1:21" x14ac:dyDescent="0.2">
      <c r="A6" t="s">
        <v>109</v>
      </c>
      <c r="B6" s="13" t="s">
        <v>100</v>
      </c>
      <c r="C6" s="19">
        <f t="shared" si="0"/>
        <v>17.391304347826086</v>
      </c>
      <c r="D6" s="19">
        <f t="shared" si="1"/>
        <v>72.463768115942031</v>
      </c>
      <c r="E6" s="20">
        <f>Controls!$B$17/курс</f>
        <v>0</v>
      </c>
      <c r="F6" s="20">
        <f>Controls!$B$18/курс</f>
        <v>36.231884057971016</v>
      </c>
      <c r="G6" s="20">
        <f>Controls!$B$19/курс</f>
        <v>50.724637681159415</v>
      </c>
      <c r="H6" t="s">
        <v>14</v>
      </c>
      <c r="I6" t="s">
        <v>101</v>
      </c>
      <c r="J6" t="s">
        <v>110</v>
      </c>
      <c r="K6" t="s">
        <v>111</v>
      </c>
      <c r="M6" t="s">
        <v>110</v>
      </c>
      <c r="N6">
        <v>500</v>
      </c>
      <c r="O6">
        <v>120</v>
      </c>
      <c r="Q6">
        <v>0</v>
      </c>
      <c r="T6" s="15"/>
      <c r="U6" s="15"/>
    </row>
    <row r="7" spans="1:21" x14ac:dyDescent="0.2">
      <c r="A7" t="s">
        <v>112</v>
      </c>
      <c r="B7" s="13" t="s">
        <v>100</v>
      </c>
      <c r="C7" s="19">
        <f t="shared" si="0"/>
        <v>21.739130434782609</v>
      </c>
      <c r="D7" s="19">
        <f t="shared" si="1"/>
        <v>79.710144927536234</v>
      </c>
      <c r="E7" s="20">
        <f>Controls!$B$17/курс</f>
        <v>0</v>
      </c>
      <c r="F7" s="20">
        <f>Controls!$B$18/курс</f>
        <v>36.231884057971016</v>
      </c>
      <c r="G7" s="20">
        <f>Controls!$B$19/курс</f>
        <v>50.724637681159415</v>
      </c>
      <c r="H7" t="s">
        <v>14</v>
      </c>
      <c r="I7" t="s">
        <v>101</v>
      </c>
      <c r="J7" t="s">
        <v>113</v>
      </c>
      <c r="K7" t="s">
        <v>114</v>
      </c>
      <c r="M7" t="s">
        <v>113</v>
      </c>
      <c r="N7">
        <v>550</v>
      </c>
      <c r="O7">
        <v>150</v>
      </c>
      <c r="Q7">
        <v>0</v>
      </c>
      <c r="T7" s="15"/>
      <c r="U7" s="15"/>
    </row>
    <row r="8" spans="1:21" ht="15" customHeight="1" x14ac:dyDescent="0.2">
      <c r="A8" t="s">
        <v>115</v>
      </c>
      <c r="B8" s="13" t="s">
        <v>100</v>
      </c>
      <c r="C8" s="19">
        <f t="shared" si="0"/>
        <v>26.086956521739129</v>
      </c>
      <c r="D8" s="19">
        <f t="shared" si="1"/>
        <v>94.202898550724626</v>
      </c>
      <c r="E8" s="19">
        <f>Controls!$B$17/курс</f>
        <v>0</v>
      </c>
      <c r="F8" s="20">
        <f>Controls!$B$18/курс</f>
        <v>36.231884057971016</v>
      </c>
      <c r="G8" s="20">
        <f>Controls!$B$19/курс</f>
        <v>50.724637681159415</v>
      </c>
      <c r="H8" t="s">
        <v>14</v>
      </c>
      <c r="I8" t="s">
        <v>101</v>
      </c>
      <c r="J8" t="s">
        <v>116</v>
      </c>
      <c r="K8" t="s">
        <v>117</v>
      </c>
      <c r="M8" t="s">
        <v>116</v>
      </c>
      <c r="N8">
        <v>650</v>
      </c>
      <c r="O8">
        <v>180</v>
      </c>
      <c r="Q8">
        <v>0</v>
      </c>
      <c r="T8" s="15"/>
      <c r="U8" s="15"/>
    </row>
    <row r="9" spans="1:21" ht="15" customHeight="1" x14ac:dyDescent="0.2">
      <c r="A9" t="s">
        <v>118</v>
      </c>
      <c r="B9" s="13" t="s">
        <v>100</v>
      </c>
      <c r="C9" s="19">
        <f t="shared" si="0"/>
        <v>14.492753623188404</v>
      </c>
      <c r="D9" s="19">
        <f t="shared" si="1"/>
        <v>55.072463768115938</v>
      </c>
      <c r="E9" s="19">
        <f>Controls!$B$17/курс</f>
        <v>0</v>
      </c>
      <c r="F9" s="20">
        <f>Controls!$B$18/курс</f>
        <v>36.231884057971016</v>
      </c>
      <c r="G9" s="20">
        <f>Controls!$B$19/курс</f>
        <v>50.724637681159415</v>
      </c>
      <c r="H9" t="s">
        <v>14</v>
      </c>
      <c r="I9" t="s">
        <v>101</v>
      </c>
      <c r="J9" t="s">
        <v>119</v>
      </c>
      <c r="K9" t="s">
        <v>120</v>
      </c>
      <c r="M9" t="s">
        <v>119</v>
      </c>
      <c r="N9">
        <v>380</v>
      </c>
      <c r="O9">
        <v>100</v>
      </c>
      <c r="Q9">
        <v>0</v>
      </c>
      <c r="T9" s="15"/>
      <c r="U9" s="15"/>
    </row>
    <row r="10" spans="1:21" ht="15" customHeight="1" x14ac:dyDescent="0.2">
      <c r="A10" t="s">
        <v>121</v>
      </c>
      <c r="B10" s="13" t="s">
        <v>100</v>
      </c>
      <c r="C10" s="19">
        <f t="shared" si="0"/>
        <v>14.492753623188404</v>
      </c>
      <c r="D10" s="19">
        <f t="shared" si="1"/>
        <v>55.072463768115938</v>
      </c>
      <c r="E10" s="19">
        <f>Controls!$B$17/курс</f>
        <v>0</v>
      </c>
      <c r="F10" s="20">
        <f>Controls!$B$18/курс</f>
        <v>36.231884057971016</v>
      </c>
      <c r="G10" s="20">
        <f>Controls!$B$19/курс</f>
        <v>50.724637681159415</v>
      </c>
      <c r="H10" t="s">
        <v>14</v>
      </c>
      <c r="I10" t="s">
        <v>101</v>
      </c>
      <c r="J10" t="s">
        <v>122</v>
      </c>
      <c r="K10" t="s">
        <v>123</v>
      </c>
      <c r="M10" t="s">
        <v>122</v>
      </c>
      <c r="N10">
        <v>380</v>
      </c>
      <c r="O10">
        <v>100</v>
      </c>
      <c r="Q10">
        <v>0</v>
      </c>
      <c r="T10" s="15"/>
      <c r="U10" s="15"/>
    </row>
    <row r="11" spans="1:21" ht="15" customHeight="1" x14ac:dyDescent="0.2">
      <c r="A11" t="s">
        <v>124</v>
      </c>
      <c r="B11" s="13" t="s">
        <v>100</v>
      </c>
      <c r="C11" s="19">
        <f t="shared" si="0"/>
        <v>14.492753623188404</v>
      </c>
      <c r="D11" s="19">
        <f t="shared" si="1"/>
        <v>55.072463768115938</v>
      </c>
      <c r="E11" s="19">
        <f>Controls!$B$17/курс</f>
        <v>0</v>
      </c>
      <c r="F11" s="20">
        <f>Controls!$B$18/курс</f>
        <v>36.231884057971016</v>
      </c>
      <c r="G11" s="20">
        <f>Controls!$B$19/курс</f>
        <v>50.724637681159415</v>
      </c>
      <c r="H11" t="s">
        <v>14</v>
      </c>
      <c r="I11" t="s">
        <v>101</v>
      </c>
      <c r="J11" t="s">
        <v>125</v>
      </c>
      <c r="K11" t="s">
        <v>126</v>
      </c>
      <c r="M11" t="s">
        <v>125</v>
      </c>
      <c r="N11">
        <v>380</v>
      </c>
      <c r="O11">
        <v>100</v>
      </c>
      <c r="Q11">
        <v>0</v>
      </c>
      <c r="T11" s="15"/>
      <c r="U11" s="15"/>
    </row>
    <row r="12" spans="1:21" ht="15" customHeight="1" x14ac:dyDescent="0.2">
      <c r="A12" t="s">
        <v>127</v>
      </c>
      <c r="B12" s="13" t="s">
        <v>100</v>
      </c>
      <c r="C12" s="19">
        <f t="shared" si="0"/>
        <v>14.492753623188404</v>
      </c>
      <c r="D12" s="19">
        <f t="shared" si="1"/>
        <v>55.072463768115938</v>
      </c>
      <c r="E12" s="19">
        <f>Controls!$B$17/курс</f>
        <v>0</v>
      </c>
      <c r="F12" s="20">
        <f>Controls!$B$18/курс</f>
        <v>36.231884057971016</v>
      </c>
      <c r="G12" s="20">
        <f>Controls!$B$19/курс</f>
        <v>50.724637681159415</v>
      </c>
      <c r="H12" t="s">
        <v>14</v>
      </c>
      <c r="I12" t="s">
        <v>101</v>
      </c>
      <c r="J12" t="s">
        <v>128</v>
      </c>
      <c r="K12" t="s">
        <v>129</v>
      </c>
      <c r="M12" t="s">
        <v>128</v>
      </c>
      <c r="N12">
        <v>380</v>
      </c>
      <c r="O12">
        <v>100</v>
      </c>
      <c r="Q12">
        <v>0</v>
      </c>
      <c r="T12" s="15"/>
      <c r="U12" s="15"/>
    </row>
    <row r="13" spans="1:21" ht="15" customHeight="1" x14ac:dyDescent="0.2">
      <c r="A13" t="s">
        <v>130</v>
      </c>
      <c r="B13" s="13" t="s">
        <v>100</v>
      </c>
      <c r="C13" s="19">
        <f t="shared" si="0"/>
        <v>14.492753623188404</v>
      </c>
      <c r="D13" s="19">
        <f t="shared" si="1"/>
        <v>50.724637681159415</v>
      </c>
      <c r="E13" s="19">
        <f>Controls!$B$17/курс</f>
        <v>0</v>
      </c>
      <c r="F13" s="20">
        <f>Controls!$B$18/курс</f>
        <v>36.231884057971016</v>
      </c>
      <c r="G13" s="20">
        <f>Controls!$B$19/курс</f>
        <v>50.724637681159415</v>
      </c>
      <c r="H13" t="s">
        <v>14</v>
      </c>
      <c r="I13" t="s">
        <v>101</v>
      </c>
      <c r="J13" t="s">
        <v>131</v>
      </c>
      <c r="K13" t="s">
        <v>132</v>
      </c>
      <c r="M13" t="s">
        <v>131</v>
      </c>
      <c r="N13">
        <v>350</v>
      </c>
      <c r="O13">
        <v>100</v>
      </c>
      <c r="Q13">
        <v>0</v>
      </c>
      <c r="T13" s="15"/>
      <c r="U13" s="15"/>
    </row>
    <row r="14" spans="1:21" ht="15" customHeight="1" x14ac:dyDescent="0.2">
      <c r="A14" t="s">
        <v>133</v>
      </c>
      <c r="B14" s="13" t="s">
        <v>100</v>
      </c>
      <c r="C14" s="19">
        <f t="shared" si="0"/>
        <v>14.492753623188404</v>
      </c>
      <c r="D14" s="19">
        <f t="shared" si="1"/>
        <v>43.478260869565219</v>
      </c>
      <c r="E14" s="19">
        <f>Controls!$B$17/курс</f>
        <v>0</v>
      </c>
      <c r="F14" s="20">
        <f>Controls!$B$18/курс</f>
        <v>36.231884057971016</v>
      </c>
      <c r="G14" s="20">
        <f>Controls!$B$19/курс</f>
        <v>50.724637681159415</v>
      </c>
      <c r="H14" t="s">
        <v>14</v>
      </c>
      <c r="I14" t="s">
        <v>101</v>
      </c>
      <c r="J14" t="s">
        <v>134</v>
      </c>
      <c r="K14" t="s">
        <v>135</v>
      </c>
      <c r="M14" t="s">
        <v>134</v>
      </c>
      <c r="N14">
        <v>300</v>
      </c>
      <c r="O14">
        <v>100</v>
      </c>
      <c r="Q14">
        <v>0</v>
      </c>
      <c r="T14" s="15"/>
      <c r="U14" s="15"/>
    </row>
    <row r="15" spans="1:21" ht="15" customHeight="1" x14ac:dyDescent="0.2">
      <c r="A15" t="s">
        <v>136</v>
      </c>
      <c r="B15" s="13" t="s">
        <v>100</v>
      </c>
      <c r="C15" s="19">
        <f t="shared" si="0"/>
        <v>13.043478260869565</v>
      </c>
      <c r="D15" s="19">
        <f t="shared" si="1"/>
        <v>43.478260869565219</v>
      </c>
      <c r="E15" s="19">
        <f>Controls!$B$17/курс</f>
        <v>0</v>
      </c>
      <c r="F15" s="20">
        <f>Controls!$B$18/курс</f>
        <v>36.231884057971016</v>
      </c>
      <c r="G15" s="20">
        <f>Controls!$B$19/курс</f>
        <v>50.724637681159415</v>
      </c>
      <c r="H15" t="s">
        <v>14</v>
      </c>
      <c r="I15" t="s">
        <v>101</v>
      </c>
      <c r="J15" t="s">
        <v>137</v>
      </c>
      <c r="K15" t="s">
        <v>138</v>
      </c>
      <c r="M15" t="s">
        <v>137</v>
      </c>
      <c r="N15">
        <v>300</v>
      </c>
      <c r="O15">
        <v>90</v>
      </c>
      <c r="Q15">
        <v>0</v>
      </c>
      <c r="T15" s="15"/>
      <c r="U15" s="15"/>
    </row>
    <row r="16" spans="1:21" ht="15" customHeight="1" x14ac:dyDescent="0.2">
      <c r="A16" t="s">
        <v>139</v>
      </c>
      <c r="B16" s="13" t="s">
        <v>100</v>
      </c>
      <c r="C16" s="19">
        <f t="shared" si="0"/>
        <v>18.840579710144926</v>
      </c>
      <c r="D16" s="19">
        <f t="shared" si="1"/>
        <v>65.217391304347828</v>
      </c>
      <c r="E16" s="19">
        <f>Controls!$B$17/курс</f>
        <v>0</v>
      </c>
      <c r="F16" s="20">
        <f>Controls!$B$18/курс</f>
        <v>36.231884057971016</v>
      </c>
      <c r="G16" s="20">
        <f>Controls!$B$19/курс</f>
        <v>50.724637681159415</v>
      </c>
      <c r="H16" t="s">
        <v>14</v>
      </c>
      <c r="I16" t="s">
        <v>101</v>
      </c>
      <c r="J16" t="s">
        <v>140</v>
      </c>
      <c r="K16" t="s">
        <v>141</v>
      </c>
      <c r="M16" t="s">
        <v>140</v>
      </c>
      <c r="N16">
        <v>450</v>
      </c>
      <c r="O16">
        <v>130</v>
      </c>
      <c r="Q16">
        <v>0</v>
      </c>
      <c r="T16" s="15"/>
      <c r="U16" s="15"/>
    </row>
    <row r="17" spans="1:21" ht="15" customHeight="1" x14ac:dyDescent="0.2">
      <c r="A17" t="s">
        <v>142</v>
      </c>
      <c r="B17" s="13" t="s">
        <v>100</v>
      </c>
      <c r="C17" s="19">
        <f t="shared" si="0"/>
        <v>14.492753623188404</v>
      </c>
      <c r="D17" s="19">
        <f t="shared" si="1"/>
        <v>43.478260869565219</v>
      </c>
      <c r="E17" s="19">
        <f>Controls!$B$17/курс</f>
        <v>0</v>
      </c>
      <c r="F17" s="20">
        <f>Controls!$B$18/курс</f>
        <v>36.231884057971016</v>
      </c>
      <c r="G17" s="20">
        <f>Controls!$B$19/курс</f>
        <v>50.724637681159415</v>
      </c>
      <c r="H17" t="s">
        <v>14</v>
      </c>
      <c r="I17" t="s">
        <v>101</v>
      </c>
      <c r="J17" t="s">
        <v>143</v>
      </c>
      <c r="K17" t="s">
        <v>144</v>
      </c>
      <c r="M17" t="s">
        <v>143</v>
      </c>
      <c r="N17">
        <v>300</v>
      </c>
      <c r="O17">
        <v>100</v>
      </c>
      <c r="Q17">
        <v>0</v>
      </c>
      <c r="T17" s="15"/>
      <c r="U17" s="15"/>
    </row>
    <row r="18" spans="1:21" ht="15" customHeight="1" x14ac:dyDescent="0.2">
      <c r="A18" t="s">
        <v>145</v>
      </c>
      <c r="B18" s="13" t="s">
        <v>100</v>
      </c>
      <c r="C18" s="19">
        <f t="shared" si="0"/>
        <v>14.492753623188404</v>
      </c>
      <c r="D18" s="19">
        <f t="shared" si="1"/>
        <v>43.478260869565219</v>
      </c>
      <c r="E18" s="19">
        <f>Controls!$B$17/курс</f>
        <v>0</v>
      </c>
      <c r="F18" s="20">
        <f>Controls!$B$18/курс</f>
        <v>36.231884057971016</v>
      </c>
      <c r="G18" s="20">
        <f>Controls!$B$19/курс</f>
        <v>50.724637681159415</v>
      </c>
      <c r="H18" t="s">
        <v>14</v>
      </c>
      <c r="I18" t="s">
        <v>101</v>
      </c>
      <c r="J18" t="s">
        <v>146</v>
      </c>
      <c r="K18" t="s">
        <v>147</v>
      </c>
      <c r="M18" t="s">
        <v>146</v>
      </c>
      <c r="N18">
        <v>300</v>
      </c>
      <c r="O18">
        <v>100</v>
      </c>
      <c r="Q18">
        <v>0</v>
      </c>
      <c r="T18" s="15"/>
      <c r="U18" s="15"/>
    </row>
    <row r="19" spans="1:21" ht="15" customHeight="1" x14ac:dyDescent="0.2">
      <c r="A19" t="s">
        <v>148</v>
      </c>
      <c r="B19" s="13" t="s">
        <v>100</v>
      </c>
      <c r="C19" s="19">
        <f t="shared" si="0"/>
        <v>14.492753623188404</v>
      </c>
      <c r="D19" s="19">
        <f t="shared" si="1"/>
        <v>43.478260869565219</v>
      </c>
      <c r="E19" s="19">
        <f>Controls!$B$17/курс</f>
        <v>0</v>
      </c>
      <c r="F19" s="20">
        <f>Controls!$B$18/курс</f>
        <v>36.231884057971016</v>
      </c>
      <c r="G19" s="20">
        <f>Controls!$B$19/курс</f>
        <v>50.724637681159415</v>
      </c>
      <c r="H19" t="s">
        <v>14</v>
      </c>
      <c r="I19" t="s">
        <v>101</v>
      </c>
      <c r="J19" t="s">
        <v>148</v>
      </c>
      <c r="M19" t="s">
        <v>148</v>
      </c>
      <c r="N19">
        <v>300</v>
      </c>
      <c r="O19">
        <v>100</v>
      </c>
      <c r="Q19">
        <v>0</v>
      </c>
      <c r="T19" s="15"/>
      <c r="U19" s="15"/>
    </row>
    <row r="20" spans="1:21" ht="15" customHeight="1" x14ac:dyDescent="0.2">
      <c r="A20" t="s">
        <v>149</v>
      </c>
      <c r="B20" s="13" t="s">
        <v>100</v>
      </c>
      <c r="C20" s="19">
        <f t="shared" si="0"/>
        <v>14.492753623188404</v>
      </c>
      <c r="D20" s="19">
        <f t="shared" si="1"/>
        <v>43.478260869565219</v>
      </c>
      <c r="E20" s="19">
        <f>Controls!$B$17/курс</f>
        <v>0</v>
      </c>
      <c r="F20" s="20">
        <f>Controls!$B$18/курс</f>
        <v>36.231884057971016</v>
      </c>
      <c r="G20" s="20">
        <f>Controls!$B$19/курс</f>
        <v>50.724637681159415</v>
      </c>
      <c r="H20" t="s">
        <v>14</v>
      </c>
      <c r="I20" t="s">
        <v>101</v>
      </c>
      <c r="J20" t="s">
        <v>149</v>
      </c>
      <c r="M20" t="s">
        <v>149</v>
      </c>
      <c r="N20">
        <v>300</v>
      </c>
      <c r="O20">
        <v>100</v>
      </c>
      <c r="Q20">
        <v>0</v>
      </c>
      <c r="T20" s="15"/>
      <c r="U20" s="15"/>
    </row>
    <row r="21" spans="1:21" ht="15" customHeight="1" x14ac:dyDescent="0.2">
      <c r="A21" t="s">
        <v>150</v>
      </c>
      <c r="B21" s="13" t="s">
        <v>100</v>
      </c>
      <c r="C21" s="19">
        <f t="shared" si="0"/>
        <v>10.869565217391305</v>
      </c>
      <c r="D21" s="19">
        <f t="shared" si="1"/>
        <v>36.231884057971016</v>
      </c>
      <c r="E21" s="19">
        <f>Controls!$B$17/курс</f>
        <v>0</v>
      </c>
      <c r="F21" s="20">
        <f>Controls!$B$18/курс</f>
        <v>36.231884057971016</v>
      </c>
      <c r="G21" s="20">
        <f>Controls!$B$19/курс</f>
        <v>50.724637681159415</v>
      </c>
      <c r="H21" t="s">
        <v>14</v>
      </c>
      <c r="I21" t="s">
        <v>101</v>
      </c>
      <c r="J21" t="s">
        <v>151</v>
      </c>
      <c r="K21" t="s">
        <v>152</v>
      </c>
      <c r="M21" t="s">
        <v>151</v>
      </c>
      <c r="N21">
        <v>250</v>
      </c>
      <c r="O21">
        <v>75</v>
      </c>
      <c r="Q21">
        <v>0</v>
      </c>
      <c r="T21" s="15"/>
      <c r="U21" s="15"/>
    </row>
    <row r="22" spans="1:21" ht="15" customHeight="1" x14ac:dyDescent="0.2">
      <c r="A22" t="s">
        <v>153</v>
      </c>
      <c r="B22" s="13" t="s">
        <v>100</v>
      </c>
      <c r="C22" s="19">
        <f t="shared" si="0"/>
        <v>7.2463768115942022</v>
      </c>
      <c r="D22" s="19">
        <f t="shared" si="1"/>
        <v>21.739130434782609</v>
      </c>
      <c r="E22" s="19">
        <f>Controls!$B$17/курс</f>
        <v>0</v>
      </c>
      <c r="F22" s="20">
        <f>Controls!$B$18/курс</f>
        <v>36.231884057971016</v>
      </c>
      <c r="G22" s="20">
        <f>Controls!$B$19/курс</f>
        <v>50.724637681159415</v>
      </c>
      <c r="H22" t="s">
        <v>14</v>
      </c>
      <c r="I22" t="s">
        <v>101</v>
      </c>
      <c r="J22" t="s">
        <v>154</v>
      </c>
      <c r="K22" t="s">
        <v>155</v>
      </c>
      <c r="M22" t="s">
        <v>154</v>
      </c>
      <c r="N22">
        <v>150</v>
      </c>
      <c r="O22">
        <v>50</v>
      </c>
      <c r="Q22">
        <v>0</v>
      </c>
      <c r="T22" s="15"/>
      <c r="U22" s="15"/>
    </row>
    <row r="23" spans="1:21" ht="15" customHeight="1" x14ac:dyDescent="0.2">
      <c r="A23" t="s">
        <v>156</v>
      </c>
      <c r="B23" s="13" t="s">
        <v>100</v>
      </c>
      <c r="C23" s="19">
        <f t="shared" si="0"/>
        <v>7.2463768115942022</v>
      </c>
      <c r="D23" s="19">
        <f t="shared" si="1"/>
        <v>21.739130434782609</v>
      </c>
      <c r="E23" s="19">
        <f>Controls!$B$17/курс</f>
        <v>0</v>
      </c>
      <c r="F23" s="20">
        <f>Controls!$B$18/курс</f>
        <v>36.231884057971016</v>
      </c>
      <c r="G23" s="20">
        <f>Controls!$B$19/курс</f>
        <v>50.724637681159415</v>
      </c>
      <c r="H23" t="s">
        <v>14</v>
      </c>
      <c r="I23" t="s">
        <v>101</v>
      </c>
      <c r="J23" t="s">
        <v>157</v>
      </c>
      <c r="K23" t="s">
        <v>158</v>
      </c>
      <c r="M23" t="s">
        <v>157</v>
      </c>
      <c r="N23">
        <v>150</v>
      </c>
      <c r="O23">
        <v>50</v>
      </c>
      <c r="Q23">
        <v>0</v>
      </c>
      <c r="T23" s="15"/>
      <c r="U23" s="15"/>
    </row>
    <row r="24" spans="1:21" ht="15" customHeight="1" x14ac:dyDescent="0.2">
      <c r="A24" t="s">
        <v>159</v>
      </c>
      <c r="B24" s="13" t="s">
        <v>100</v>
      </c>
      <c r="C24" s="19">
        <f t="shared" si="0"/>
        <v>7.2463768115942022</v>
      </c>
      <c r="D24" s="19">
        <f t="shared" si="1"/>
        <v>21.739130434782609</v>
      </c>
      <c r="E24" s="19">
        <f>Controls!$B$17/курс</f>
        <v>0</v>
      </c>
      <c r="F24" s="20">
        <f>Controls!$B$18/курс</f>
        <v>36.231884057971016</v>
      </c>
      <c r="G24" s="20">
        <f>Controls!$B$19/курс</f>
        <v>50.724637681159415</v>
      </c>
      <c r="H24" t="s">
        <v>14</v>
      </c>
      <c r="I24" t="s">
        <v>101</v>
      </c>
      <c r="J24" t="s">
        <v>159</v>
      </c>
      <c r="M24" t="s">
        <v>159</v>
      </c>
      <c r="N24">
        <v>150</v>
      </c>
      <c r="O24">
        <v>50</v>
      </c>
      <c r="Q24">
        <v>0</v>
      </c>
      <c r="T24" s="15"/>
      <c r="U24" s="15"/>
    </row>
    <row r="25" spans="1:21" ht="15" customHeight="1" x14ac:dyDescent="0.2">
      <c r="A25" t="s">
        <v>160</v>
      </c>
      <c r="B25" s="13" t="s">
        <v>100</v>
      </c>
      <c r="C25" s="19">
        <f t="shared" si="0"/>
        <v>5.7971014492753623</v>
      </c>
      <c r="D25" s="19">
        <f t="shared" si="1"/>
        <v>11.594202898550725</v>
      </c>
      <c r="E25" s="19">
        <f>Controls!$B$17/курс</f>
        <v>0</v>
      </c>
      <c r="F25" s="20">
        <f>Controls!$B$18/курс</f>
        <v>36.231884057971016</v>
      </c>
      <c r="G25" s="20">
        <f>Controls!$B$19/курс</f>
        <v>50.724637681159415</v>
      </c>
      <c r="H25" t="s">
        <v>14</v>
      </c>
      <c r="I25" t="s">
        <v>101</v>
      </c>
      <c r="J25" t="s">
        <v>161</v>
      </c>
      <c r="K25" t="s">
        <v>162</v>
      </c>
      <c r="M25" t="s">
        <v>161</v>
      </c>
      <c r="N25">
        <v>80</v>
      </c>
      <c r="O25">
        <v>40</v>
      </c>
      <c r="Q25">
        <v>0</v>
      </c>
      <c r="T25" s="15"/>
      <c r="U25" s="15"/>
    </row>
    <row r="26" spans="1:21" ht="15" customHeight="1" x14ac:dyDescent="0.2">
      <c r="A26" t="s">
        <v>163</v>
      </c>
      <c r="B26" s="13" t="s">
        <v>100</v>
      </c>
      <c r="C26" s="19">
        <f t="shared" si="0"/>
        <v>7.2463768115942022</v>
      </c>
      <c r="D26" s="19">
        <f t="shared" si="1"/>
        <v>14.492753623188404</v>
      </c>
      <c r="E26" s="19">
        <f>Controls!$B$17/курс</f>
        <v>0</v>
      </c>
      <c r="F26" s="20">
        <f>Controls!$B$18/курс</f>
        <v>36.231884057971016</v>
      </c>
      <c r="G26" s="20">
        <f>Controls!$B$19/курс</f>
        <v>50.724637681159415</v>
      </c>
      <c r="H26" t="s">
        <v>14</v>
      </c>
      <c r="I26" t="s">
        <v>101</v>
      </c>
      <c r="J26" t="s">
        <v>163</v>
      </c>
      <c r="M26" t="s">
        <v>163</v>
      </c>
      <c r="N26">
        <v>100</v>
      </c>
      <c r="O26">
        <v>50</v>
      </c>
      <c r="Q26">
        <v>0</v>
      </c>
      <c r="T26" s="15"/>
      <c r="U26" s="15"/>
    </row>
    <row r="27" spans="1:21" ht="15" customHeight="1" x14ac:dyDescent="0.2">
      <c r="A27" t="s">
        <v>164</v>
      </c>
      <c r="B27" s="13" t="s">
        <v>100</v>
      </c>
      <c r="C27" s="19">
        <f t="shared" si="0"/>
        <v>7.2463768115942022</v>
      </c>
      <c r="D27" s="19">
        <f t="shared" si="1"/>
        <v>21.739130434782609</v>
      </c>
      <c r="E27" s="19">
        <f>Controls!$B$17/курс</f>
        <v>0</v>
      </c>
      <c r="F27" s="20">
        <f>Controls!$B$18/курс</f>
        <v>36.231884057971016</v>
      </c>
      <c r="G27" s="20">
        <f>Controls!$B$19/курс</f>
        <v>50.724637681159415</v>
      </c>
      <c r="H27" t="s">
        <v>14</v>
      </c>
      <c r="I27" t="s">
        <v>101</v>
      </c>
      <c r="J27" t="s">
        <v>164</v>
      </c>
      <c r="M27" t="s">
        <v>164</v>
      </c>
      <c r="N27">
        <v>150</v>
      </c>
      <c r="O27">
        <v>50</v>
      </c>
      <c r="Q27">
        <v>0</v>
      </c>
      <c r="T27" s="15"/>
      <c r="U27" s="15"/>
    </row>
    <row r="28" spans="1:21" ht="15" customHeight="1" x14ac:dyDescent="0.2">
      <c r="A28" t="s">
        <v>165</v>
      </c>
      <c r="B28" s="13" t="s">
        <v>100</v>
      </c>
      <c r="C28" s="19">
        <f t="shared" si="0"/>
        <v>7.2463768115942022</v>
      </c>
      <c r="D28" s="19">
        <f t="shared" si="1"/>
        <v>21.739130434782609</v>
      </c>
      <c r="E28" s="19">
        <f>Controls!$B$17/курс</f>
        <v>0</v>
      </c>
      <c r="F28" s="20">
        <f>Controls!$B$18/курс</f>
        <v>36.231884057971016</v>
      </c>
      <c r="G28" s="20">
        <f>Controls!$B$19/курс</f>
        <v>50.724637681159415</v>
      </c>
      <c r="H28" t="s">
        <v>14</v>
      </c>
      <c r="I28" t="s">
        <v>101</v>
      </c>
      <c r="J28" t="s">
        <v>165</v>
      </c>
      <c r="M28" t="s">
        <v>165</v>
      </c>
      <c r="N28">
        <v>150</v>
      </c>
      <c r="O28">
        <v>50</v>
      </c>
      <c r="Q28">
        <v>0</v>
      </c>
      <c r="T28" s="15"/>
      <c r="U28" s="15"/>
    </row>
    <row r="29" spans="1:21" ht="15" customHeight="1" x14ac:dyDescent="0.2">
      <c r="A29" t="s">
        <v>166</v>
      </c>
      <c r="B29" s="13" t="s">
        <v>100</v>
      </c>
      <c r="C29" s="19">
        <f t="shared" si="0"/>
        <v>8.695652173913043</v>
      </c>
      <c r="D29" s="19">
        <f t="shared" si="1"/>
        <v>26.086956521739129</v>
      </c>
      <c r="E29" s="19">
        <f>Controls!$B$17/курс</f>
        <v>0</v>
      </c>
      <c r="F29" s="20">
        <f>Controls!$B$18/курс</f>
        <v>36.231884057971016</v>
      </c>
      <c r="G29" s="20">
        <f>Controls!$B$19/курс</f>
        <v>50.724637681159415</v>
      </c>
      <c r="H29" t="s">
        <v>14</v>
      </c>
      <c r="I29" t="s">
        <v>101</v>
      </c>
      <c r="J29" t="s">
        <v>166</v>
      </c>
      <c r="M29" t="s">
        <v>166</v>
      </c>
      <c r="N29">
        <v>180</v>
      </c>
      <c r="O29">
        <v>60</v>
      </c>
      <c r="Q29">
        <v>0</v>
      </c>
      <c r="T29" s="15"/>
      <c r="U29" s="15"/>
    </row>
    <row r="30" spans="1:21" ht="15" customHeight="1" x14ac:dyDescent="0.2">
      <c r="A30" t="s">
        <v>167</v>
      </c>
      <c r="B30" s="13" t="s">
        <v>100</v>
      </c>
      <c r="C30" s="19">
        <f t="shared" si="0"/>
        <v>8.695652173913043</v>
      </c>
      <c r="D30" s="19">
        <f t="shared" si="1"/>
        <v>26.086956521739129</v>
      </c>
      <c r="E30" s="19">
        <f>Controls!$B$17/курс</f>
        <v>0</v>
      </c>
      <c r="F30" s="20">
        <f>Controls!$B$18/курс</f>
        <v>36.231884057971016</v>
      </c>
      <c r="G30" s="20">
        <f>Controls!$B$19/курс</f>
        <v>50.724637681159415</v>
      </c>
      <c r="H30" t="s">
        <v>14</v>
      </c>
      <c r="I30" t="s">
        <v>101</v>
      </c>
      <c r="J30" t="s">
        <v>167</v>
      </c>
      <c r="M30" t="s">
        <v>167</v>
      </c>
      <c r="N30">
        <v>180</v>
      </c>
      <c r="O30">
        <v>60</v>
      </c>
      <c r="Q30">
        <v>0</v>
      </c>
      <c r="T30" s="15"/>
      <c r="U30" s="15"/>
    </row>
    <row r="31" spans="1:21" ht="15" customHeight="1" x14ac:dyDescent="0.2">
      <c r="A31" t="s">
        <v>168</v>
      </c>
      <c r="B31" s="13" t="s">
        <v>100</v>
      </c>
      <c r="C31" s="19">
        <f t="shared" si="0"/>
        <v>8.695652173913043</v>
      </c>
      <c r="D31" s="19">
        <f t="shared" si="1"/>
        <v>26.086956521739129</v>
      </c>
      <c r="E31" s="19">
        <f>Controls!$B$17/курс</f>
        <v>0</v>
      </c>
      <c r="F31" s="20">
        <f>Controls!$B$18/курс</f>
        <v>36.231884057971016</v>
      </c>
      <c r="G31" s="20">
        <f>Controls!$B$19/курс</f>
        <v>50.724637681159415</v>
      </c>
      <c r="H31" t="s">
        <v>14</v>
      </c>
      <c r="I31" t="s">
        <v>101</v>
      </c>
      <c r="J31" t="s">
        <v>169</v>
      </c>
      <c r="K31" t="s">
        <v>170</v>
      </c>
      <c r="M31" t="s">
        <v>169</v>
      </c>
      <c r="N31">
        <v>180</v>
      </c>
      <c r="O31">
        <v>60</v>
      </c>
      <c r="Q31">
        <v>0</v>
      </c>
      <c r="T31" s="15"/>
      <c r="U31" s="15"/>
    </row>
    <row r="32" spans="1:21" ht="15" customHeight="1" x14ac:dyDescent="0.2">
      <c r="A32" t="s">
        <v>171</v>
      </c>
      <c r="B32" s="13" t="s">
        <v>100</v>
      </c>
      <c r="C32" s="19">
        <f t="shared" si="0"/>
        <v>10.144927536231883</v>
      </c>
      <c r="D32" s="19">
        <f t="shared" si="1"/>
        <v>36.231884057971016</v>
      </c>
      <c r="E32" s="19">
        <f>Controls!$B$17/курс</f>
        <v>0</v>
      </c>
      <c r="F32" s="20">
        <f>Controls!$B$18/курс</f>
        <v>36.231884057971016</v>
      </c>
      <c r="G32" s="20">
        <f>Controls!$B$19/курс</f>
        <v>50.724637681159415</v>
      </c>
      <c r="H32" t="s">
        <v>14</v>
      </c>
      <c r="I32" t="s">
        <v>101</v>
      </c>
      <c r="J32" t="s">
        <v>171</v>
      </c>
      <c r="M32" t="s">
        <v>171</v>
      </c>
      <c r="N32">
        <v>250</v>
      </c>
      <c r="O32">
        <v>70</v>
      </c>
      <c r="Q32">
        <v>0</v>
      </c>
      <c r="T32" s="15"/>
      <c r="U32" s="15"/>
    </row>
    <row r="33" spans="1:21" ht="15" customHeight="1" x14ac:dyDescent="0.2">
      <c r="A33" t="s">
        <v>172</v>
      </c>
      <c r="B33" s="13" t="s">
        <v>100</v>
      </c>
      <c r="C33" s="19">
        <f t="shared" si="0"/>
        <v>8.695652173913043</v>
      </c>
      <c r="D33" s="19">
        <f t="shared" si="1"/>
        <v>26.086956521739129</v>
      </c>
      <c r="E33" s="19">
        <f>Controls!$B$17/курс</f>
        <v>0</v>
      </c>
      <c r="F33" s="20">
        <f>Controls!$B$18/курс</f>
        <v>36.231884057971016</v>
      </c>
      <c r="G33" s="20">
        <f>Controls!$B$19/курс</f>
        <v>50.724637681159415</v>
      </c>
      <c r="H33" t="s">
        <v>14</v>
      </c>
      <c r="I33" t="s">
        <v>101</v>
      </c>
      <c r="J33" t="s">
        <v>173</v>
      </c>
      <c r="K33" t="s">
        <v>174</v>
      </c>
      <c r="M33" t="s">
        <v>173</v>
      </c>
      <c r="N33">
        <v>180</v>
      </c>
      <c r="O33">
        <v>60</v>
      </c>
      <c r="Q33">
        <v>0</v>
      </c>
      <c r="T33" s="15"/>
      <c r="U33" s="15"/>
    </row>
    <row r="34" spans="1:21" ht="15" customHeight="1" x14ac:dyDescent="0.2">
      <c r="A34" t="s">
        <v>175</v>
      </c>
      <c r="B34" s="13" t="s">
        <v>100</v>
      </c>
      <c r="C34" s="19">
        <f t="shared" si="0"/>
        <v>8.695652173913043</v>
      </c>
      <c r="D34" s="19">
        <f t="shared" si="1"/>
        <v>26.086956521739129</v>
      </c>
      <c r="E34" s="19">
        <f>Controls!$B$17/курс</f>
        <v>0</v>
      </c>
      <c r="F34" s="20">
        <f>Controls!$B$18/курс</f>
        <v>36.231884057971016</v>
      </c>
      <c r="G34" s="20">
        <f>Controls!$B$19/курс</f>
        <v>50.724637681159415</v>
      </c>
      <c r="H34" t="s">
        <v>14</v>
      </c>
      <c r="I34" t="s">
        <v>101</v>
      </c>
      <c r="J34" t="s">
        <v>176</v>
      </c>
      <c r="K34" t="s">
        <v>177</v>
      </c>
      <c r="M34" t="s">
        <v>176</v>
      </c>
      <c r="N34">
        <v>180</v>
      </c>
      <c r="O34">
        <v>60</v>
      </c>
      <c r="Q34">
        <v>0</v>
      </c>
      <c r="T34" s="15"/>
      <c r="U34" s="15"/>
    </row>
    <row r="35" spans="1:21" ht="15" customHeight="1" x14ac:dyDescent="0.2">
      <c r="A35" t="s">
        <v>168</v>
      </c>
      <c r="B35" s="13" t="s">
        <v>100</v>
      </c>
      <c r="C35" s="19">
        <f t="shared" ref="C35:C57" si="2">O35/курс</f>
        <v>11.594202898550725</v>
      </c>
      <c r="D35" s="19">
        <f t="shared" ref="D35:D57" si="3">N35/курс</f>
        <v>36.231884057971016</v>
      </c>
      <c r="E35" s="19">
        <f>Controls!$B$17/курс</f>
        <v>0</v>
      </c>
      <c r="F35" s="20">
        <f>Controls!$B$18/курс</f>
        <v>36.231884057971016</v>
      </c>
      <c r="G35" s="20">
        <f>Controls!$B$19/курс</f>
        <v>50.724637681159415</v>
      </c>
      <c r="H35" t="s">
        <v>14</v>
      </c>
      <c r="I35" t="s">
        <v>101</v>
      </c>
      <c r="J35" t="s">
        <v>169</v>
      </c>
      <c r="K35" t="s">
        <v>170</v>
      </c>
      <c r="M35" t="s">
        <v>169</v>
      </c>
      <c r="N35">
        <v>250</v>
      </c>
      <c r="O35">
        <v>80</v>
      </c>
      <c r="Q35">
        <v>0</v>
      </c>
      <c r="T35" s="15"/>
      <c r="U35" s="15"/>
    </row>
    <row r="36" spans="1:21" ht="15" customHeight="1" x14ac:dyDescent="0.2">
      <c r="A36" t="s">
        <v>178</v>
      </c>
      <c r="B36" s="13" t="s">
        <v>100</v>
      </c>
      <c r="C36" s="19">
        <f t="shared" si="2"/>
        <v>8.695652173913043</v>
      </c>
      <c r="D36" s="19">
        <f t="shared" si="3"/>
        <v>26.086956521739129</v>
      </c>
      <c r="E36" s="19">
        <f>Controls!$B$17/курс</f>
        <v>0</v>
      </c>
      <c r="F36" s="20">
        <f>Controls!$B$18/курс</f>
        <v>36.231884057971016</v>
      </c>
      <c r="G36" s="20">
        <f>Controls!$B$19/курс</f>
        <v>50.724637681159415</v>
      </c>
      <c r="H36" t="s">
        <v>14</v>
      </c>
      <c r="I36" t="s">
        <v>101</v>
      </c>
      <c r="J36" t="s">
        <v>179</v>
      </c>
      <c r="K36" t="s">
        <v>180</v>
      </c>
      <c r="M36" t="s">
        <v>179</v>
      </c>
      <c r="N36">
        <v>180</v>
      </c>
      <c r="O36">
        <v>60</v>
      </c>
      <c r="Q36">
        <v>0</v>
      </c>
      <c r="T36" s="15"/>
      <c r="U36" s="15"/>
    </row>
    <row r="37" spans="1:21" ht="15" customHeight="1" x14ac:dyDescent="0.2">
      <c r="A37" t="s">
        <v>181</v>
      </c>
      <c r="B37" s="13" t="s">
        <v>100</v>
      </c>
      <c r="C37" s="19">
        <f t="shared" si="2"/>
        <v>14.492753623188404</v>
      </c>
      <c r="D37" s="19">
        <f t="shared" si="3"/>
        <v>50.724637681159415</v>
      </c>
      <c r="E37" s="19">
        <f>Controls!$B$17/курс</f>
        <v>0</v>
      </c>
      <c r="F37" s="20">
        <f>Controls!$B$18/курс</f>
        <v>36.231884057971016</v>
      </c>
      <c r="G37" s="20">
        <f>Controls!$B$19/курс</f>
        <v>50.724637681159415</v>
      </c>
      <c r="H37" t="s">
        <v>14</v>
      </c>
      <c r="I37" t="s">
        <v>101</v>
      </c>
      <c r="J37" t="s">
        <v>181</v>
      </c>
      <c r="M37" t="s">
        <v>181</v>
      </c>
      <c r="N37">
        <v>350</v>
      </c>
      <c r="O37">
        <v>100</v>
      </c>
      <c r="Q37">
        <v>0</v>
      </c>
      <c r="T37" s="15"/>
      <c r="U37" s="15"/>
    </row>
    <row r="38" spans="1:21" ht="15" customHeight="1" x14ac:dyDescent="0.2">
      <c r="A38" t="s">
        <v>182</v>
      </c>
      <c r="B38" s="13" t="s">
        <v>100</v>
      </c>
      <c r="C38" s="19">
        <f t="shared" si="2"/>
        <v>14.492753623188404</v>
      </c>
      <c r="D38" s="19">
        <f t="shared" si="3"/>
        <v>50.724637681159415</v>
      </c>
      <c r="E38" s="19">
        <f>Controls!$B$17/курс</f>
        <v>0</v>
      </c>
      <c r="F38" s="20">
        <f>Controls!$B$18/курс</f>
        <v>36.231884057971016</v>
      </c>
      <c r="G38" s="20">
        <f>Controls!$B$19/курс</f>
        <v>50.724637681159415</v>
      </c>
      <c r="H38" t="s">
        <v>14</v>
      </c>
      <c r="I38" t="s">
        <v>101</v>
      </c>
      <c r="J38" t="s">
        <v>183</v>
      </c>
      <c r="K38" t="s">
        <v>184</v>
      </c>
      <c r="M38" t="s">
        <v>183</v>
      </c>
      <c r="N38">
        <v>350</v>
      </c>
      <c r="O38">
        <v>100</v>
      </c>
      <c r="Q38">
        <v>0</v>
      </c>
      <c r="T38" s="15"/>
      <c r="U38" s="15"/>
    </row>
    <row r="39" spans="1:21" ht="15" customHeight="1" x14ac:dyDescent="0.2">
      <c r="A39" t="s">
        <v>185</v>
      </c>
      <c r="B39" s="13" t="s">
        <v>100</v>
      </c>
      <c r="C39" s="19">
        <f t="shared" si="2"/>
        <v>15.942028985507246</v>
      </c>
      <c r="D39" s="19">
        <f t="shared" si="3"/>
        <v>57.971014492753618</v>
      </c>
      <c r="E39" s="19">
        <f>Controls!$B$17/курс</f>
        <v>0</v>
      </c>
      <c r="F39" s="20">
        <f>Controls!$B$18/курс</f>
        <v>36.231884057971016</v>
      </c>
      <c r="G39" s="20">
        <f>Controls!$B$19/курс</f>
        <v>50.724637681159415</v>
      </c>
      <c r="H39" t="s">
        <v>14</v>
      </c>
      <c r="I39" t="s">
        <v>101</v>
      </c>
      <c r="J39" t="s">
        <v>186</v>
      </c>
      <c r="K39" t="s">
        <v>187</v>
      </c>
      <c r="M39" t="s">
        <v>186</v>
      </c>
      <c r="N39">
        <v>400</v>
      </c>
      <c r="O39">
        <v>110</v>
      </c>
      <c r="Q39">
        <v>0</v>
      </c>
      <c r="T39" s="15"/>
      <c r="U39" s="15"/>
    </row>
    <row r="40" spans="1:21" ht="15" customHeight="1" x14ac:dyDescent="0.2">
      <c r="A40" t="s">
        <v>188</v>
      </c>
      <c r="B40" s="13" t="s">
        <v>100</v>
      </c>
      <c r="C40" s="19">
        <f t="shared" si="2"/>
        <v>15.942028985507246</v>
      </c>
      <c r="D40" s="19">
        <f t="shared" si="3"/>
        <v>57.971014492753618</v>
      </c>
      <c r="E40" s="19">
        <f>Controls!$B$17/курс</f>
        <v>0</v>
      </c>
      <c r="F40" s="20">
        <f>Controls!$B$18/курс</f>
        <v>36.231884057971016</v>
      </c>
      <c r="G40" s="20">
        <f>Controls!$B$19/курс</f>
        <v>50.724637681159415</v>
      </c>
      <c r="H40" t="s">
        <v>14</v>
      </c>
      <c r="I40" t="s">
        <v>101</v>
      </c>
      <c r="J40" t="s">
        <v>189</v>
      </c>
      <c r="K40" t="s">
        <v>190</v>
      </c>
      <c r="M40" t="s">
        <v>189</v>
      </c>
      <c r="N40">
        <v>400</v>
      </c>
      <c r="O40">
        <v>110</v>
      </c>
      <c r="Q40">
        <v>0</v>
      </c>
      <c r="T40" s="15"/>
      <c r="U40" s="15"/>
    </row>
    <row r="41" spans="1:21" ht="15" customHeight="1" x14ac:dyDescent="0.2">
      <c r="A41" t="s">
        <v>191</v>
      </c>
      <c r="B41" s="13" t="s">
        <v>100</v>
      </c>
      <c r="C41" s="19">
        <f t="shared" si="2"/>
        <v>15.942028985507246</v>
      </c>
      <c r="D41" s="19">
        <f t="shared" si="3"/>
        <v>57.971014492753618</v>
      </c>
      <c r="E41" s="19">
        <f>Controls!$B$17/курс</f>
        <v>0</v>
      </c>
      <c r="F41" s="20">
        <f>Controls!$B$18/курс</f>
        <v>36.231884057971016</v>
      </c>
      <c r="G41" s="20">
        <f>Controls!$B$19/курс</f>
        <v>50.724637681159415</v>
      </c>
      <c r="H41" t="s">
        <v>14</v>
      </c>
      <c r="I41" t="s">
        <v>101</v>
      </c>
      <c r="J41" t="s">
        <v>192</v>
      </c>
      <c r="K41" t="s">
        <v>193</v>
      </c>
      <c r="M41" t="s">
        <v>192</v>
      </c>
      <c r="N41">
        <v>400</v>
      </c>
      <c r="O41">
        <v>110</v>
      </c>
      <c r="Q41">
        <v>0</v>
      </c>
      <c r="T41" s="15"/>
      <c r="U41" s="15"/>
    </row>
    <row r="42" spans="1:21" ht="15" customHeight="1" x14ac:dyDescent="0.2">
      <c r="A42" t="s">
        <v>194</v>
      </c>
      <c r="B42" s="13" t="s">
        <v>100</v>
      </c>
      <c r="C42" s="19">
        <f t="shared" si="2"/>
        <v>17.391304347826086</v>
      </c>
      <c r="D42" s="19">
        <f t="shared" si="3"/>
        <v>65.217391304347828</v>
      </c>
      <c r="E42" s="19">
        <f>Controls!$B$17/курс</f>
        <v>0</v>
      </c>
      <c r="F42" s="20">
        <f>Controls!$B$18/курс</f>
        <v>36.231884057971016</v>
      </c>
      <c r="G42" s="20">
        <f>Controls!$B$19/курс</f>
        <v>50.724637681159415</v>
      </c>
      <c r="H42" t="s">
        <v>14</v>
      </c>
      <c r="I42" t="s">
        <v>101</v>
      </c>
      <c r="J42" t="s">
        <v>195</v>
      </c>
      <c r="K42" t="s">
        <v>196</v>
      </c>
      <c r="M42" t="s">
        <v>195</v>
      </c>
      <c r="N42">
        <v>450</v>
      </c>
      <c r="O42">
        <v>120</v>
      </c>
      <c r="Q42">
        <v>0</v>
      </c>
      <c r="T42" s="15"/>
      <c r="U42" s="15"/>
    </row>
    <row r="43" spans="1:21" ht="15" customHeight="1" x14ac:dyDescent="0.2">
      <c r="A43" t="s">
        <v>197</v>
      </c>
      <c r="B43" s="13" t="s">
        <v>100</v>
      </c>
      <c r="C43" s="19">
        <f t="shared" si="2"/>
        <v>17.391304347826086</v>
      </c>
      <c r="D43" s="19">
        <f t="shared" si="3"/>
        <v>65.217391304347828</v>
      </c>
      <c r="E43" s="19">
        <f>Controls!$B$17/курс</f>
        <v>0</v>
      </c>
      <c r="F43" s="20">
        <f>Controls!$B$18/курс</f>
        <v>36.231884057971016</v>
      </c>
      <c r="G43" s="20">
        <f>Controls!$B$19/курс</f>
        <v>50.724637681159415</v>
      </c>
      <c r="H43" t="s">
        <v>14</v>
      </c>
      <c r="I43" t="s">
        <v>101</v>
      </c>
      <c r="J43" t="s">
        <v>198</v>
      </c>
      <c r="K43" t="s">
        <v>199</v>
      </c>
      <c r="M43" t="s">
        <v>198</v>
      </c>
      <c r="N43">
        <v>450</v>
      </c>
      <c r="O43">
        <v>120</v>
      </c>
      <c r="Q43">
        <v>0</v>
      </c>
      <c r="T43" s="15"/>
      <c r="U43" s="15"/>
    </row>
    <row r="44" spans="1:21" ht="15" customHeight="1" x14ac:dyDescent="0.2">
      <c r="A44" t="s">
        <v>27</v>
      </c>
      <c r="B44" s="13" t="s">
        <v>100</v>
      </c>
      <c r="C44" s="19">
        <f t="shared" si="2"/>
        <v>17.391304347826086</v>
      </c>
      <c r="D44" s="19">
        <f t="shared" si="3"/>
        <v>65.217391304347828</v>
      </c>
      <c r="E44" s="19">
        <f>Controls!$B$17/курс</f>
        <v>0</v>
      </c>
      <c r="F44" s="20">
        <f>Controls!$B$18/курс</f>
        <v>36.231884057971016</v>
      </c>
      <c r="G44" s="20">
        <f>Controls!$B$19/курс</f>
        <v>50.724637681159415</v>
      </c>
      <c r="H44" t="s">
        <v>14</v>
      </c>
      <c r="I44" t="s">
        <v>101</v>
      </c>
      <c r="J44" t="s">
        <v>200</v>
      </c>
      <c r="K44" t="s">
        <v>201</v>
      </c>
      <c r="M44" t="s">
        <v>200</v>
      </c>
      <c r="N44">
        <v>450</v>
      </c>
      <c r="O44">
        <v>120</v>
      </c>
      <c r="Q44">
        <v>0</v>
      </c>
      <c r="T44" s="15"/>
      <c r="U44" s="15"/>
    </row>
    <row r="45" spans="1:21" ht="15" customHeight="1" x14ac:dyDescent="0.2">
      <c r="A45" t="s">
        <v>202</v>
      </c>
      <c r="B45" s="13" t="s">
        <v>100</v>
      </c>
      <c r="C45" s="19">
        <f t="shared" si="2"/>
        <v>17.391304347826086</v>
      </c>
      <c r="D45" s="19">
        <f t="shared" si="3"/>
        <v>65.217391304347828</v>
      </c>
      <c r="E45" s="19">
        <f>Controls!$B$17/курс</f>
        <v>0</v>
      </c>
      <c r="F45" s="20">
        <f>Controls!$B$18/курс</f>
        <v>36.231884057971016</v>
      </c>
      <c r="G45" s="20">
        <f>Controls!$B$19/курс</f>
        <v>50.724637681159415</v>
      </c>
      <c r="H45" t="s">
        <v>14</v>
      </c>
      <c r="I45" t="s">
        <v>101</v>
      </c>
      <c r="J45" t="s">
        <v>203</v>
      </c>
      <c r="K45" t="s">
        <v>204</v>
      </c>
      <c r="M45" t="s">
        <v>203</v>
      </c>
      <c r="N45">
        <v>450</v>
      </c>
      <c r="O45">
        <v>120</v>
      </c>
      <c r="Q45">
        <v>0</v>
      </c>
      <c r="T45" s="15"/>
      <c r="U45" s="15"/>
    </row>
    <row r="46" spans="1:21" ht="15" customHeight="1" x14ac:dyDescent="0.2">
      <c r="A46" t="s">
        <v>205</v>
      </c>
      <c r="B46" s="13" t="s">
        <v>100</v>
      </c>
      <c r="C46" s="19">
        <f t="shared" si="2"/>
        <v>17.391304347826086</v>
      </c>
      <c r="D46" s="19">
        <f t="shared" si="3"/>
        <v>65.217391304347828</v>
      </c>
      <c r="E46" s="19">
        <f>Controls!$B$17/курс</f>
        <v>0</v>
      </c>
      <c r="F46" s="20">
        <f>Controls!$B$18/курс</f>
        <v>36.231884057971016</v>
      </c>
      <c r="G46" s="20">
        <f>Controls!$B$19/курс</f>
        <v>50.724637681159415</v>
      </c>
      <c r="H46" t="s">
        <v>14</v>
      </c>
      <c r="I46" t="s">
        <v>101</v>
      </c>
      <c r="J46" t="s">
        <v>206</v>
      </c>
      <c r="K46" t="s">
        <v>207</v>
      </c>
      <c r="M46" t="s">
        <v>206</v>
      </c>
      <c r="N46">
        <v>450</v>
      </c>
      <c r="O46">
        <v>120</v>
      </c>
      <c r="Q46">
        <v>0</v>
      </c>
      <c r="T46" s="15"/>
      <c r="U46" s="15"/>
    </row>
    <row r="47" spans="1:21" ht="15" customHeight="1" x14ac:dyDescent="0.2">
      <c r="A47" t="s">
        <v>208</v>
      </c>
      <c r="B47" s="13" t="s">
        <v>100</v>
      </c>
      <c r="C47" s="19">
        <f t="shared" si="2"/>
        <v>17.391304347826086</v>
      </c>
      <c r="D47" s="19">
        <f t="shared" si="3"/>
        <v>65.217391304347828</v>
      </c>
      <c r="E47" s="19">
        <f>Controls!$B$17/курс</f>
        <v>0</v>
      </c>
      <c r="F47" s="20">
        <f>Controls!$B$18/курс</f>
        <v>36.231884057971016</v>
      </c>
      <c r="G47" s="20">
        <f>Controls!$B$19/курс</f>
        <v>50.724637681159415</v>
      </c>
      <c r="H47" t="s">
        <v>14</v>
      </c>
      <c r="I47" t="s">
        <v>101</v>
      </c>
      <c r="J47" t="s">
        <v>209</v>
      </c>
      <c r="K47" t="s">
        <v>210</v>
      </c>
      <c r="M47" t="s">
        <v>209</v>
      </c>
      <c r="N47">
        <v>450</v>
      </c>
      <c r="O47">
        <v>120</v>
      </c>
      <c r="Q47">
        <v>0</v>
      </c>
      <c r="T47" s="15"/>
      <c r="U47" s="15"/>
    </row>
    <row r="48" spans="1:21" ht="15" customHeight="1" x14ac:dyDescent="0.2">
      <c r="A48" t="s">
        <v>211</v>
      </c>
      <c r="B48" s="13" t="s">
        <v>100</v>
      </c>
      <c r="C48" s="19">
        <f t="shared" si="2"/>
        <v>17.391304347826086</v>
      </c>
      <c r="D48" s="19">
        <f t="shared" si="3"/>
        <v>65.217391304347828</v>
      </c>
      <c r="E48" s="19">
        <f>Controls!$B$17/курс</f>
        <v>0</v>
      </c>
      <c r="F48" s="20">
        <f>Controls!$B$18/курс</f>
        <v>36.231884057971016</v>
      </c>
      <c r="G48" s="20">
        <f>Controls!$B$19/курс</f>
        <v>50.724637681159415</v>
      </c>
      <c r="H48" t="s">
        <v>14</v>
      </c>
      <c r="I48" t="s">
        <v>101</v>
      </c>
      <c r="J48" t="s">
        <v>212</v>
      </c>
      <c r="K48" t="s">
        <v>213</v>
      </c>
      <c r="M48" t="s">
        <v>212</v>
      </c>
      <c r="N48">
        <v>450</v>
      </c>
      <c r="O48">
        <v>120</v>
      </c>
      <c r="Q48">
        <v>0</v>
      </c>
      <c r="T48" s="15"/>
      <c r="U48" s="15"/>
    </row>
    <row r="49" spans="1:21" ht="15" customHeight="1" x14ac:dyDescent="0.2">
      <c r="A49" t="s">
        <v>214</v>
      </c>
      <c r="B49" s="13" t="s">
        <v>100</v>
      </c>
      <c r="C49" s="19">
        <f t="shared" si="2"/>
        <v>17.391304347826086</v>
      </c>
      <c r="D49" s="19">
        <f t="shared" si="3"/>
        <v>65.217391304347828</v>
      </c>
      <c r="E49" s="19">
        <f>Controls!$B$17/курс</f>
        <v>0</v>
      </c>
      <c r="F49" s="20">
        <f>Controls!$B$18/курс</f>
        <v>36.231884057971016</v>
      </c>
      <c r="G49" s="20">
        <f>Controls!$B$19/курс</f>
        <v>50.724637681159415</v>
      </c>
      <c r="H49" t="s">
        <v>14</v>
      </c>
      <c r="I49" t="s">
        <v>101</v>
      </c>
      <c r="J49" t="s">
        <v>214</v>
      </c>
      <c r="M49" t="s">
        <v>214</v>
      </c>
      <c r="N49">
        <v>450</v>
      </c>
      <c r="O49">
        <v>120</v>
      </c>
      <c r="Q49">
        <v>0</v>
      </c>
      <c r="T49" s="15"/>
      <c r="U49" s="15"/>
    </row>
    <row r="50" spans="1:21" ht="15" customHeight="1" x14ac:dyDescent="0.2">
      <c r="A50" t="s">
        <v>215</v>
      </c>
      <c r="B50" s="13" t="s">
        <v>100</v>
      </c>
      <c r="C50" s="19">
        <f t="shared" si="2"/>
        <v>21.739130434782609</v>
      </c>
      <c r="D50" s="19">
        <f t="shared" si="3"/>
        <v>79.710144927536234</v>
      </c>
      <c r="E50" s="19">
        <f>Controls!$B$17/курс</f>
        <v>0</v>
      </c>
      <c r="F50" s="20">
        <f>Controls!$B$18/курс</f>
        <v>36.231884057971016</v>
      </c>
      <c r="G50" s="20">
        <f>Controls!$B$19/курс</f>
        <v>50.724637681159415</v>
      </c>
      <c r="H50" t="s">
        <v>14</v>
      </c>
      <c r="I50" t="s">
        <v>101</v>
      </c>
      <c r="J50" t="s">
        <v>216</v>
      </c>
      <c r="K50" t="s">
        <v>217</v>
      </c>
      <c r="M50" t="s">
        <v>216</v>
      </c>
      <c r="N50">
        <v>550</v>
      </c>
      <c r="O50">
        <v>150</v>
      </c>
      <c r="Q50">
        <v>0</v>
      </c>
      <c r="T50" s="15"/>
      <c r="U50" s="15"/>
    </row>
    <row r="51" spans="1:21" ht="15" customHeight="1" x14ac:dyDescent="0.2">
      <c r="A51" t="s">
        <v>218</v>
      </c>
      <c r="B51" s="13" t="s">
        <v>100</v>
      </c>
      <c r="C51" s="19">
        <f t="shared" si="2"/>
        <v>17.391304347826086</v>
      </c>
      <c r="D51" s="19">
        <f t="shared" si="3"/>
        <v>65.217391304347828</v>
      </c>
      <c r="E51" s="19">
        <f>Controls!$B$17/курс</f>
        <v>0</v>
      </c>
      <c r="F51" s="20">
        <f>Controls!$B$18/курс</f>
        <v>36.231884057971016</v>
      </c>
      <c r="G51" s="20">
        <f>Controls!$B$19/курс</f>
        <v>50.724637681159415</v>
      </c>
      <c r="H51" t="s">
        <v>14</v>
      </c>
      <c r="I51" t="s">
        <v>101</v>
      </c>
      <c r="J51" t="s">
        <v>218</v>
      </c>
      <c r="M51" t="s">
        <v>218</v>
      </c>
      <c r="N51">
        <v>450</v>
      </c>
      <c r="O51">
        <v>120</v>
      </c>
      <c r="Q51">
        <v>0</v>
      </c>
      <c r="T51" s="15"/>
      <c r="U51" s="15"/>
    </row>
    <row r="52" spans="1:21" ht="15" customHeight="1" x14ac:dyDescent="0.2">
      <c r="A52" t="s">
        <v>219</v>
      </c>
      <c r="B52" s="13" t="s">
        <v>100</v>
      </c>
      <c r="C52" s="19">
        <f t="shared" si="2"/>
        <v>13.043478260869565</v>
      </c>
      <c r="D52" s="19">
        <f t="shared" si="3"/>
        <v>50.724637681159415</v>
      </c>
      <c r="E52" s="19">
        <f>Controls!$B$17/курс</f>
        <v>0</v>
      </c>
      <c r="F52" s="20">
        <f>Controls!$B$18/курс</f>
        <v>36.231884057971016</v>
      </c>
      <c r="G52" s="20">
        <f>Controls!$B$19/курс</f>
        <v>50.724637681159415</v>
      </c>
      <c r="H52" t="s">
        <v>14</v>
      </c>
      <c r="I52" t="s">
        <v>101</v>
      </c>
      <c r="J52" t="s">
        <v>220</v>
      </c>
      <c r="K52" t="s">
        <v>221</v>
      </c>
      <c r="M52" t="s">
        <v>220</v>
      </c>
      <c r="N52">
        <v>350</v>
      </c>
      <c r="O52">
        <v>90</v>
      </c>
      <c r="Q52">
        <v>0</v>
      </c>
      <c r="T52" s="15"/>
      <c r="U52" s="15"/>
    </row>
    <row r="53" spans="1:21" ht="15" customHeight="1" x14ac:dyDescent="0.2">
      <c r="A53" t="s">
        <v>222</v>
      </c>
      <c r="B53" s="13" t="s">
        <v>100</v>
      </c>
      <c r="C53" s="19">
        <f t="shared" si="2"/>
        <v>11.594202898550725</v>
      </c>
      <c r="D53" s="19">
        <f t="shared" si="3"/>
        <v>43.478260869565219</v>
      </c>
      <c r="E53" s="19">
        <f>Controls!$B$17/курс</f>
        <v>0</v>
      </c>
      <c r="F53" s="20">
        <f>Controls!$B$18/курс</f>
        <v>36.231884057971016</v>
      </c>
      <c r="G53" s="20">
        <f>Controls!$B$19/курс</f>
        <v>50.724637681159415</v>
      </c>
      <c r="H53" t="s">
        <v>14</v>
      </c>
      <c r="I53" t="s">
        <v>101</v>
      </c>
      <c r="J53" t="s">
        <v>223</v>
      </c>
      <c r="K53" t="s">
        <v>224</v>
      </c>
      <c r="M53" t="s">
        <v>223</v>
      </c>
      <c r="N53">
        <v>300</v>
      </c>
      <c r="O53">
        <v>80</v>
      </c>
      <c r="Q53">
        <v>0</v>
      </c>
      <c r="T53" s="15"/>
      <c r="U53" s="15"/>
    </row>
    <row r="54" spans="1:21" ht="15" customHeight="1" x14ac:dyDescent="0.2">
      <c r="A54" t="s">
        <v>225</v>
      </c>
      <c r="B54" s="13" t="s">
        <v>100</v>
      </c>
      <c r="C54" s="19">
        <f t="shared" si="2"/>
        <v>10.869565217391305</v>
      </c>
      <c r="D54" s="19">
        <f t="shared" si="3"/>
        <v>36.231884057971016</v>
      </c>
      <c r="E54" s="19">
        <f>Controls!$B$17/курс</f>
        <v>0</v>
      </c>
      <c r="F54" s="20">
        <f>Controls!$B$18/курс</f>
        <v>36.231884057971016</v>
      </c>
      <c r="G54" s="20">
        <f>Controls!$B$19/курс</f>
        <v>50.724637681159415</v>
      </c>
      <c r="H54" t="s">
        <v>14</v>
      </c>
      <c r="I54" t="s">
        <v>101</v>
      </c>
      <c r="J54" t="s">
        <v>226</v>
      </c>
      <c r="K54" t="s">
        <v>227</v>
      </c>
      <c r="M54" t="s">
        <v>226</v>
      </c>
      <c r="N54">
        <v>250</v>
      </c>
      <c r="O54">
        <v>75</v>
      </c>
      <c r="Q54">
        <v>0</v>
      </c>
      <c r="T54" s="15"/>
      <c r="U54" s="15"/>
    </row>
    <row r="55" spans="1:21" ht="15" customHeight="1" x14ac:dyDescent="0.2">
      <c r="A55" t="s">
        <v>228</v>
      </c>
      <c r="B55" s="13" t="s">
        <v>100</v>
      </c>
      <c r="C55" s="19">
        <f t="shared" si="2"/>
        <v>10.144927536231883</v>
      </c>
      <c r="D55" s="19">
        <f t="shared" si="3"/>
        <v>31.884057971014492</v>
      </c>
      <c r="E55" s="19">
        <f>Controls!$B$17/курс</f>
        <v>0</v>
      </c>
      <c r="F55" s="20">
        <f>Controls!$B$18/курс</f>
        <v>36.231884057971016</v>
      </c>
      <c r="G55" s="20">
        <f>Controls!$B$19/курс</f>
        <v>50.724637681159415</v>
      </c>
      <c r="H55" t="s">
        <v>14</v>
      </c>
      <c r="I55" t="s">
        <v>101</v>
      </c>
      <c r="J55" t="s">
        <v>228</v>
      </c>
      <c r="M55" t="s">
        <v>228</v>
      </c>
      <c r="N55">
        <v>220</v>
      </c>
      <c r="O55">
        <v>70</v>
      </c>
      <c r="Q55">
        <v>0</v>
      </c>
      <c r="T55" s="15"/>
      <c r="U55" s="15"/>
    </row>
    <row r="56" spans="1:21" ht="15" customHeight="1" x14ac:dyDescent="0.2">
      <c r="A56" t="s">
        <v>229</v>
      </c>
      <c r="B56" s="13" t="s">
        <v>100</v>
      </c>
      <c r="C56" s="19">
        <f t="shared" si="2"/>
        <v>11.594202898550725</v>
      </c>
      <c r="D56" s="19">
        <f t="shared" si="3"/>
        <v>43.478260869565219</v>
      </c>
      <c r="E56" s="19">
        <f>Controls!$B$17/курс</f>
        <v>0</v>
      </c>
      <c r="F56" s="20">
        <f>Controls!$B$18/курс</f>
        <v>36.231884057971016</v>
      </c>
      <c r="G56" s="20">
        <f>Controls!$B$19/курс</f>
        <v>50.724637681159415</v>
      </c>
      <c r="H56" t="s">
        <v>14</v>
      </c>
      <c r="I56" t="s">
        <v>101</v>
      </c>
      <c r="J56" t="s">
        <v>230</v>
      </c>
      <c r="K56" t="s">
        <v>231</v>
      </c>
      <c r="M56" t="s">
        <v>230</v>
      </c>
      <c r="N56">
        <v>300</v>
      </c>
      <c r="O56">
        <v>80</v>
      </c>
      <c r="Q56">
        <v>0</v>
      </c>
      <c r="T56" s="15"/>
      <c r="U56" s="15"/>
    </row>
    <row r="57" spans="1:21" ht="15" customHeight="1" x14ac:dyDescent="0.2">
      <c r="A57" t="s">
        <v>232</v>
      </c>
      <c r="B57" s="13" t="s">
        <v>100</v>
      </c>
      <c r="C57" s="19">
        <f t="shared" si="2"/>
        <v>17.391304347826086</v>
      </c>
      <c r="D57" s="19">
        <f t="shared" si="3"/>
        <v>65.217391304347828</v>
      </c>
      <c r="E57" s="19">
        <f>Controls!$B$17/курс</f>
        <v>0</v>
      </c>
      <c r="F57" s="20">
        <f>Controls!$B$18/курс</f>
        <v>36.231884057971016</v>
      </c>
      <c r="G57" s="20">
        <f>Controls!$B$19/курс</f>
        <v>50.724637681159415</v>
      </c>
      <c r="H57" t="s">
        <v>14</v>
      </c>
      <c r="I57" t="s">
        <v>101</v>
      </c>
      <c r="J57" t="s">
        <v>232</v>
      </c>
      <c r="M57" t="s">
        <v>232</v>
      </c>
      <c r="N57">
        <v>450</v>
      </c>
      <c r="O57">
        <v>120</v>
      </c>
      <c r="Q57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L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28" customWidth="1"/>
    <col min="2" max="2" width="15" customWidth="1"/>
    <col min="3" max="3" width="14" customWidth="1"/>
    <col min="4" max="4" width="12" customWidth="1"/>
    <col min="5" max="5" width="10" customWidth="1"/>
    <col min="6" max="6" width="18" customWidth="1"/>
    <col min="7" max="7" width="14" customWidth="1"/>
    <col min="8" max="9" width="10" customWidth="1"/>
    <col min="10" max="10" width="14" customWidth="1"/>
    <col min="11" max="11" width="20" customWidth="1"/>
    <col min="12" max="12" width="28" customWidth="1"/>
  </cols>
  <sheetData>
    <row r="1" spans="1:12" ht="30" customHeight="1" x14ac:dyDescent="0.2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2" t="s">
        <v>234</v>
      </c>
      <c r="B2" s="12" t="s">
        <v>235</v>
      </c>
      <c r="C2" s="12" t="s">
        <v>236</v>
      </c>
      <c r="D2" s="12" t="s">
        <v>237</v>
      </c>
      <c r="E2" s="12" t="s">
        <v>238</v>
      </c>
      <c r="F2" s="12" t="s">
        <v>239</v>
      </c>
      <c r="G2" s="12" t="s">
        <v>240</v>
      </c>
      <c r="H2" s="12" t="s">
        <v>241</v>
      </c>
      <c r="I2" s="12" t="s">
        <v>242</v>
      </c>
      <c r="J2" s="12" t="s">
        <v>243</v>
      </c>
      <c r="K2" s="12" t="s">
        <v>244</v>
      </c>
      <c r="L2" s="12" t="s">
        <v>42</v>
      </c>
    </row>
    <row r="3" spans="1:12" x14ac:dyDescent="0.2">
      <c r="A3" s="13" t="s">
        <v>245</v>
      </c>
      <c r="B3" s="13" t="s">
        <v>107</v>
      </c>
      <c r="C3" s="13">
        <v>0.8</v>
      </c>
      <c r="D3" s="13">
        <v>400</v>
      </c>
      <c r="E3" s="13" t="s">
        <v>14</v>
      </c>
      <c r="F3" s="13">
        <v>0.8</v>
      </c>
      <c r="G3" s="13">
        <v>400</v>
      </c>
      <c r="H3" s="13">
        <v>1.2</v>
      </c>
      <c r="I3" s="13" t="s">
        <v>246</v>
      </c>
      <c r="J3" s="13"/>
      <c r="K3" s="13">
        <f>Controls!$B$9+Controls!$B$8</f>
        <v>300</v>
      </c>
      <c r="L3" s="13" t="s">
        <v>247</v>
      </c>
    </row>
    <row r="4" spans="1:12" x14ac:dyDescent="0.2">
      <c r="A4" s="13" t="s">
        <v>248</v>
      </c>
      <c r="B4" s="13" t="s">
        <v>107</v>
      </c>
      <c r="C4" s="13">
        <v>2</v>
      </c>
      <c r="D4" s="13">
        <v>800</v>
      </c>
      <c r="E4" s="13" t="s">
        <v>246</v>
      </c>
      <c r="F4" s="13">
        <v>3</v>
      </c>
      <c r="G4" s="13">
        <v>800</v>
      </c>
      <c r="H4" s="13">
        <v>1.5</v>
      </c>
      <c r="I4" s="13" t="s">
        <v>246</v>
      </c>
      <c r="J4" s="13"/>
      <c r="K4" s="13">
        <f>3*Controls!$B$10+Controls!$B$8</f>
        <v>600</v>
      </c>
      <c r="L4" s="13" t="s">
        <v>249</v>
      </c>
    </row>
    <row r="5" spans="1:12" x14ac:dyDescent="0.2">
      <c r="A5" s="13" t="s">
        <v>250</v>
      </c>
      <c r="B5" s="13" t="s">
        <v>107</v>
      </c>
      <c r="C5" s="13">
        <v>3</v>
      </c>
      <c r="D5" s="13">
        <v>2200</v>
      </c>
      <c r="E5" s="13" t="s">
        <v>14</v>
      </c>
      <c r="F5" s="13">
        <v>3</v>
      </c>
      <c r="G5" s="13">
        <v>1200</v>
      </c>
      <c r="H5" s="13">
        <v>2</v>
      </c>
      <c r="I5" s="13" t="s">
        <v>14</v>
      </c>
      <c r="J5" s="13" t="s">
        <v>107</v>
      </c>
      <c r="K5" s="13" t="e">
        <f>3*Controls!$B$10+Controls!$B$8+MAX(3*VLOOKUP("Shanghai",Auto_Delivery_CN!$A$3:$I$200,3,FALSE()),(2200/1000)*VLOOKUP("Shanghai",Auto_Delivery_CN!$A$3:$I$200,4,FALSE()))+VLOOKUP("Shanghai",Auto_Delivery_CN!$A$3:$I$200,5,FALSE())+VLOOKUP("Shanghai",Auto_Delivery_CN!$A$3:$I$200,6,FALSE())</f>
        <v>#N/A</v>
      </c>
      <c r="L5" s="13" t="s">
        <v>251</v>
      </c>
    </row>
    <row r="6" spans="1:12" x14ac:dyDescent="0.2">
      <c r="A6" s="13" t="s">
        <v>252</v>
      </c>
      <c r="B6" s="13" t="s">
        <v>176</v>
      </c>
      <c r="C6" s="13">
        <v>7</v>
      </c>
      <c r="D6" s="13">
        <v>2500</v>
      </c>
      <c r="E6" s="13" t="s">
        <v>14</v>
      </c>
      <c r="F6" s="13">
        <v>7</v>
      </c>
      <c r="G6" s="13">
        <v>3500</v>
      </c>
      <c r="H6" s="13">
        <v>2.5</v>
      </c>
      <c r="I6" s="13" t="s">
        <v>14</v>
      </c>
      <c r="J6" s="13" t="s">
        <v>176</v>
      </c>
      <c r="K6" s="13" t="e">
        <f>7*Controls!$B$11+Controls!$B$8+MAX(7*VLOOKUP("Ningbo",Auto_Delivery_CN!$A$3:$I$200,3,FALSE()),(2500/1000)*VLOOKUP("Ningbo",Auto_Delivery_CN!$A$3:$I$200,4,FALSE()))+VLOOKUP("Ningbo",Auto_Delivery_CN!$A$3:$I$200,5,FALSE())+VLOOKUP("Ningbo",Auto_Delivery_CN!$A$3:$I$200,6,FALSE())</f>
        <v>#N/A</v>
      </c>
      <c r="L6" s="13" t="s">
        <v>253</v>
      </c>
    </row>
    <row r="7" spans="1:12" x14ac:dyDescent="0.2">
      <c r="A7" s="13" t="s">
        <v>254</v>
      </c>
      <c r="B7" s="13" t="s">
        <v>157</v>
      </c>
      <c r="C7" s="13">
        <v>12</v>
      </c>
      <c r="D7" s="13">
        <v>5000</v>
      </c>
      <c r="E7" s="13" t="s">
        <v>14</v>
      </c>
      <c r="F7" s="13">
        <v>12</v>
      </c>
      <c r="G7" s="13">
        <v>2500</v>
      </c>
      <c r="H7" s="13">
        <v>6.5</v>
      </c>
      <c r="I7" s="13" t="s">
        <v>246</v>
      </c>
      <c r="J7" s="13"/>
      <c r="K7" s="13">
        <f>12*Controls!$B$12+Controls!$B$8</f>
        <v>1950</v>
      </c>
      <c r="L7" s="13" t="s">
        <v>253</v>
      </c>
    </row>
    <row r="8" spans="1:12" x14ac:dyDescent="0.2">
      <c r="A8" t="s">
        <v>255</v>
      </c>
      <c r="B8" t="s">
        <v>107</v>
      </c>
      <c r="C8">
        <v>16</v>
      </c>
      <c r="D8">
        <v>4200</v>
      </c>
      <c r="E8" t="s">
        <v>14</v>
      </c>
      <c r="F8">
        <v>16</v>
      </c>
      <c r="G8">
        <v>2000</v>
      </c>
      <c r="H8">
        <v>2</v>
      </c>
      <c r="I8" t="s">
        <v>14</v>
      </c>
      <c r="J8" t="s">
        <v>107</v>
      </c>
      <c r="K8" t="e">
        <f>16*Controls!$B$12+Controls!$B$8+MAX(16*VLOOKUP("Shanghai",Auto_Delivery_CN!$A$3:$I$200,3,FALSE()),(4200/1000)*VLOOKUP("Shanghai",Auto_Delivery_CN!$A$3:$I$200,4,FALSE()))+VLOOKUP("Shanghai",Auto_Delivery_CN!$A$3:$I$200,5,FALSE())+VLOOKUP("Shanghai",Auto_Delivery_CN!$A$3:$I$200,7,FALSE())</f>
        <v>#N/A</v>
      </c>
      <c r="L8" t="s">
        <v>256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B16"/>
  <sheetViews>
    <sheetView zoomScaleNormal="100" workbookViewId="0"/>
  </sheetViews>
  <sheetFormatPr baseColWidth="10" defaultColWidth="8.6640625" defaultRowHeight="15" customHeight="1" x14ac:dyDescent="0.2"/>
  <cols>
    <col min="1" max="1" width="24" customWidth="1"/>
    <col min="2" max="2" width="90" customWidth="1"/>
  </cols>
  <sheetData>
    <row r="1" spans="1:2" x14ac:dyDescent="0.2">
      <c r="A1" s="1" t="s">
        <v>257</v>
      </c>
      <c r="B1" s="1"/>
    </row>
    <row r="2" spans="1:2" x14ac:dyDescent="0.2">
      <c r="A2" s="13" t="s">
        <v>258</v>
      </c>
      <c r="B2" s="13" t="s">
        <v>259</v>
      </c>
    </row>
    <row r="3" spans="1:2" x14ac:dyDescent="0.2">
      <c r="A3" s="13" t="s">
        <v>260</v>
      </c>
      <c r="B3" s="13" t="s">
        <v>261</v>
      </c>
    </row>
    <row r="4" spans="1:2" x14ac:dyDescent="0.2">
      <c r="A4" s="13" t="s">
        <v>262</v>
      </c>
      <c r="B4" s="13" t="s">
        <v>263</v>
      </c>
    </row>
    <row r="5" spans="1:2" x14ac:dyDescent="0.2">
      <c r="A5" s="13" t="s">
        <v>264</v>
      </c>
      <c r="B5" s="13" t="s">
        <v>265</v>
      </c>
    </row>
    <row r="6" spans="1:2" x14ac:dyDescent="0.2">
      <c r="A6" s="13" t="s">
        <v>266</v>
      </c>
      <c r="B6" s="13" t="s">
        <v>267</v>
      </c>
    </row>
    <row r="7" spans="1:2" x14ac:dyDescent="0.2">
      <c r="A7" s="13" t="s">
        <v>268</v>
      </c>
      <c r="B7" s="13" t="s">
        <v>269</v>
      </c>
    </row>
    <row r="9" spans="1:2" x14ac:dyDescent="0.2">
      <c r="A9" t="s">
        <v>270</v>
      </c>
    </row>
    <row r="10" spans="1:2" x14ac:dyDescent="0.2">
      <c r="A10" t="s">
        <v>271</v>
      </c>
    </row>
    <row r="11" spans="1:2" x14ac:dyDescent="0.2">
      <c r="A11" t="s">
        <v>272</v>
      </c>
    </row>
    <row r="12" spans="1:2" x14ac:dyDescent="0.2">
      <c r="A12" t="s">
        <v>273</v>
      </c>
    </row>
    <row r="13" spans="1:2" x14ac:dyDescent="0.2">
      <c r="A13" t="s">
        <v>274</v>
      </c>
    </row>
    <row r="14" spans="1:2" x14ac:dyDescent="0.2">
      <c r="A14" t="s">
        <v>275</v>
      </c>
      <c r="B14" t="s">
        <v>276</v>
      </c>
    </row>
    <row r="15" spans="1:2" x14ac:dyDescent="0.2">
      <c r="A15" t="s">
        <v>277</v>
      </c>
      <c r="B15" t="s">
        <v>278</v>
      </c>
    </row>
    <row r="16" spans="1:2" x14ac:dyDescent="0.2">
      <c r="A16" t="s">
        <v>279</v>
      </c>
      <c r="B16" t="s">
        <v>280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Quote_Calculator</vt:lpstr>
      <vt:lpstr>Controls</vt:lpstr>
      <vt:lpstr>Auto_Delivery_CN</vt:lpstr>
      <vt:lpstr>Test_Examples</vt:lpstr>
      <vt:lpstr>README</vt:lpstr>
      <vt:lpstr>курс</vt:lpstr>
      <vt:lpstr>AutoCityList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Fialko</cp:lastModifiedBy>
  <dcterms:created xsi:type="dcterms:W3CDTF">2026-03-27T11:34:38Z</dcterms:created>
  <dcterms:modified xsi:type="dcterms:W3CDTF">2026-04-21T09:08:40Z</dcterms:modified>
</cp:coreProperties>
</file>